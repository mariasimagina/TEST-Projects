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/>
  <xr:revisionPtr revIDLastSave="8" documentId="8_{DDD5F941-8095-4230-B015-9F1CDFD5E5C9}" xr6:coauthVersionLast="47" xr6:coauthVersionMax="47" xr10:uidLastSave="{BAC088E3-BF28-4D0D-AF31-F543F5122220}"/>
  <bookViews>
    <workbookView xWindow="-96" yWindow="-96" windowWidth="23232" windowHeight="12432" tabRatio="415" activeTab="1" xr2:uid="{00000000-000D-0000-FFFF-FFFF00000000}"/>
  </bookViews>
  <sheets>
    <sheet name="Информация" sheetId="12" r:id="rId1"/>
    <sheet name="График" sheetId="17" r:id="rId2"/>
  </sheets>
  <definedNames>
    <definedName name="_xlnm.Print_Titles" localSheetId="1">График!$6:$9</definedName>
    <definedName name="Начало_проекта" localSheetId="1">График!$C$6</definedName>
    <definedName name="Сегодня" localSheetId="1">TODAY()</definedName>
    <definedName name="Шаг_прокрутки" localSheetId="1">График!$C$7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7" l="1"/>
  <c r="E25" i="17"/>
  <c r="E23" i="17"/>
  <c r="E19" i="17"/>
  <c r="E15" i="17"/>
  <c r="E11" i="17"/>
  <c r="G25" i="17"/>
  <c r="G23" i="17"/>
  <c r="G15" i="17"/>
  <c r="G11" i="17"/>
  <c r="F13" i="17"/>
  <c r="F14" i="17" s="1"/>
  <c r="F11" i="17"/>
  <c r="F16" i="17" l="1"/>
  <c r="F15" i="17" l="1"/>
  <c r="F17" i="17"/>
  <c r="F18" i="17" s="1"/>
  <c r="F20" i="17" s="1"/>
  <c r="F19" i="17" l="1"/>
  <c r="F21" i="17"/>
  <c r="F22" i="17" s="1"/>
  <c r="G19" i="17" l="1"/>
  <c r="F24" i="17"/>
  <c r="F26" i="17" l="1"/>
  <c r="F25" i="17" s="1"/>
  <c r="F23" i="17"/>
  <c r="C6" i="17" s="1" a="1"/>
  <c r="C6" i="17" s="1"/>
  <c r="I7" i="17" s="1"/>
  <c r="I13" i="17" l="1"/>
  <c r="I12" i="17"/>
  <c r="I15" i="17"/>
  <c r="I18" i="17"/>
  <c r="I24" i="17"/>
  <c r="J7" i="17"/>
  <c r="I17" i="17"/>
  <c r="I16" i="17"/>
  <c r="I19" i="17"/>
  <c r="I6" i="17"/>
  <c r="I14" i="17"/>
  <c r="I25" i="17"/>
  <c r="I23" i="17"/>
  <c r="I11" i="17"/>
  <c r="I9" i="17"/>
  <c r="I21" i="17"/>
  <c r="I20" i="17"/>
  <c r="I26" i="17"/>
  <c r="I22" i="17"/>
  <c r="J13" i="17" l="1"/>
  <c r="J19" i="17"/>
  <c r="J11" i="17"/>
  <c r="J21" i="17"/>
  <c r="J15" i="17"/>
  <c r="J9" i="17"/>
  <c r="J16" i="17"/>
  <c r="J12" i="17"/>
  <c r="J22" i="17"/>
  <c r="J17" i="17"/>
  <c r="J20" i="17"/>
  <c r="J26" i="17"/>
  <c r="J23" i="17"/>
  <c r="J18" i="17"/>
  <c r="K7" i="17"/>
  <c r="J25" i="17"/>
  <c r="J14" i="17"/>
  <c r="J24" i="17"/>
  <c r="K13" i="17" l="1"/>
  <c r="K22" i="17"/>
  <c r="K24" i="17"/>
  <c r="K11" i="17"/>
  <c r="K20" i="17"/>
  <c r="K25" i="17"/>
  <c r="K23" i="17"/>
  <c r="K21" i="17"/>
  <c r="K16" i="17"/>
  <c r="K17" i="17"/>
  <c r="K9" i="17"/>
  <c r="K26" i="17"/>
  <c r="K12" i="17"/>
  <c r="K18" i="17"/>
  <c r="K15" i="17"/>
  <c r="K19" i="17"/>
  <c r="L7" i="17"/>
  <c r="K14" i="17"/>
  <c r="L12" i="17" l="1"/>
  <c r="L22" i="17"/>
  <c r="L18" i="17"/>
  <c r="L19" i="17"/>
  <c r="L15" i="17"/>
  <c r="L11" i="17"/>
  <c r="L21" i="17"/>
  <c r="L23" i="17"/>
  <c r="L13" i="17"/>
  <c r="L9" i="17"/>
  <c r="L16" i="17"/>
  <c r="M7" i="17"/>
  <c r="L25" i="17"/>
  <c r="L24" i="17"/>
  <c r="L26" i="17"/>
  <c r="L20" i="17"/>
  <c r="L14" i="17"/>
  <c r="L17" i="17"/>
  <c r="M25" i="17" l="1"/>
  <c r="M9" i="17"/>
  <c r="M15" i="17"/>
  <c r="M22" i="17"/>
  <c r="N7" i="17"/>
  <c r="M12" i="17"/>
  <c r="M19" i="17"/>
  <c r="M21" i="17"/>
  <c r="M13" i="17"/>
  <c r="M16" i="17"/>
  <c r="M26" i="17"/>
  <c r="M20" i="17"/>
  <c r="M18" i="17"/>
  <c r="M17" i="17"/>
  <c r="M23" i="17"/>
  <c r="M14" i="17"/>
  <c r="M11" i="17"/>
  <c r="M24" i="17"/>
  <c r="N24" i="17" l="1"/>
  <c r="N11" i="17"/>
  <c r="N12" i="17"/>
  <c r="N14" i="17"/>
  <c r="N13" i="17"/>
  <c r="N22" i="17"/>
  <c r="N23" i="17"/>
  <c r="N25" i="17"/>
  <c r="N9" i="17"/>
  <c r="N21" i="17"/>
  <c r="N17" i="17"/>
  <c r="N15" i="17"/>
  <c r="N20" i="17"/>
  <c r="N16" i="17"/>
  <c r="N18" i="17"/>
  <c r="N19" i="17"/>
  <c r="O7" i="17"/>
  <c r="N26" i="17"/>
  <c r="O24" i="17" l="1"/>
  <c r="O17" i="17"/>
  <c r="O19" i="17"/>
  <c r="O18" i="17"/>
  <c r="O26" i="17"/>
  <c r="O16" i="17"/>
  <c r="O20" i="17"/>
  <c r="O12" i="17"/>
  <c r="O11" i="17"/>
  <c r="O13" i="17"/>
  <c r="P7" i="17"/>
  <c r="O15" i="17"/>
  <c r="O9" i="17"/>
  <c r="O23" i="17"/>
  <c r="O22" i="17"/>
  <c r="O25" i="17"/>
  <c r="O14" i="17"/>
  <c r="O21" i="17"/>
  <c r="P15" i="17" l="1"/>
  <c r="P12" i="17"/>
  <c r="P24" i="17"/>
  <c r="P21" i="17"/>
  <c r="P18" i="17"/>
  <c r="P17" i="17"/>
  <c r="P11" i="17"/>
  <c r="P23" i="17"/>
  <c r="P20" i="17"/>
  <c r="P6" i="17"/>
  <c r="P25" i="17"/>
  <c r="P22" i="17"/>
  <c r="P26" i="17"/>
  <c r="P19" i="17"/>
  <c r="Q7" i="17"/>
  <c r="P9" i="17"/>
  <c r="P14" i="17"/>
  <c r="P13" i="17"/>
  <c r="P16" i="17"/>
  <c r="Q16" i="17" l="1"/>
  <c r="Q22" i="17"/>
  <c r="Q24" i="17"/>
  <c r="Q19" i="17"/>
  <c r="Q13" i="17"/>
  <c r="Q17" i="17"/>
  <c r="Q20" i="17"/>
  <c r="Q21" i="17"/>
  <c r="Q26" i="17"/>
  <c r="Q12" i="17"/>
  <c r="R7" i="17"/>
  <c r="Q25" i="17"/>
  <c r="Q18" i="17"/>
  <c r="Q9" i="17"/>
  <c r="Q14" i="17"/>
  <c r="Q23" i="17"/>
  <c r="Q15" i="17"/>
  <c r="Q11" i="17"/>
  <c r="R20" i="17" l="1"/>
  <c r="R15" i="17"/>
  <c r="R24" i="17"/>
  <c r="R13" i="17"/>
  <c r="R17" i="17"/>
  <c r="R9" i="17"/>
  <c r="R14" i="17"/>
  <c r="R18" i="17"/>
  <c r="R23" i="17"/>
  <c r="R25" i="17"/>
  <c r="R26" i="17"/>
  <c r="R19" i="17"/>
  <c r="R16" i="17"/>
  <c r="R21" i="17"/>
  <c r="S7" i="17"/>
  <c r="R11" i="17"/>
  <c r="R22" i="17"/>
  <c r="R12" i="17"/>
  <c r="S9" i="17" l="1"/>
  <c r="S26" i="17"/>
  <c r="S15" i="17"/>
  <c r="S23" i="17"/>
  <c r="S14" i="17"/>
  <c r="S12" i="17"/>
  <c r="S20" i="17"/>
  <c r="S22" i="17"/>
  <c r="S21" i="17"/>
  <c r="S13" i="17"/>
  <c r="S25" i="17"/>
  <c r="S11" i="17"/>
  <c r="S17" i="17"/>
  <c r="S19" i="17"/>
  <c r="S18" i="17"/>
  <c r="T7" i="17"/>
  <c r="S16" i="17"/>
  <c r="S24" i="17"/>
  <c r="T23" i="17" l="1"/>
  <c r="T22" i="17"/>
  <c r="T11" i="17"/>
  <c r="T14" i="17"/>
  <c r="U7" i="17"/>
  <c r="T15" i="17"/>
  <c r="T16" i="17"/>
  <c r="T18" i="17"/>
  <c r="T25" i="17"/>
  <c r="T26" i="17"/>
  <c r="T12" i="17"/>
  <c r="T9" i="17"/>
  <c r="T21" i="17"/>
  <c r="T24" i="17"/>
  <c r="T20" i="17"/>
  <c r="T17" i="17"/>
  <c r="T19" i="17"/>
  <c r="T13" i="17"/>
  <c r="U25" i="17" l="1"/>
  <c r="U9" i="17"/>
  <c r="U13" i="17"/>
  <c r="U21" i="17"/>
  <c r="U24" i="17"/>
  <c r="U20" i="17"/>
  <c r="U14" i="17"/>
  <c r="U26" i="17"/>
  <c r="U18" i="17"/>
  <c r="V7" i="17"/>
  <c r="U22" i="17"/>
  <c r="U17" i="17"/>
  <c r="U16" i="17"/>
  <c r="U19" i="17"/>
  <c r="U12" i="17"/>
  <c r="U11" i="17"/>
  <c r="U23" i="17"/>
  <c r="V17" i="17" l="1"/>
  <c r="V20" i="17"/>
  <c r="V18" i="17"/>
  <c r="V13" i="17"/>
  <c r="V12" i="17"/>
  <c r="V15" i="17"/>
  <c r="V23" i="17"/>
  <c r="V24" i="17"/>
  <c r="V14" i="17"/>
  <c r="V11" i="17"/>
  <c r="V9" i="17"/>
  <c r="V25" i="17"/>
  <c r="V16" i="17"/>
  <c r="V26" i="17"/>
  <c r="V21" i="17"/>
  <c r="V22" i="17"/>
  <c r="V19" i="17"/>
  <c r="W7" i="17"/>
  <c r="W18" i="17" l="1"/>
  <c r="W23" i="17"/>
  <c r="X7" i="17"/>
  <c r="W25" i="17"/>
  <c r="W24" i="17"/>
  <c r="W19" i="17"/>
  <c r="W17" i="17"/>
  <c r="W22" i="17"/>
  <c r="W12" i="17"/>
  <c r="W16" i="17"/>
  <c r="W9" i="17"/>
  <c r="W20" i="17"/>
  <c r="W14" i="17"/>
  <c r="W21" i="17"/>
  <c r="W6" i="17"/>
  <c r="W13" i="17"/>
  <c r="W11" i="17"/>
  <c r="W26" i="17"/>
  <c r="W15" i="17"/>
  <c r="X19" i="17" l="1"/>
  <c r="X14" i="17"/>
  <c r="X22" i="17"/>
  <c r="X25" i="17"/>
  <c r="X20" i="17"/>
  <c r="X26" i="17"/>
  <c r="X23" i="17"/>
  <c r="Y7" i="17"/>
  <c r="X24" i="17"/>
  <c r="X17" i="17"/>
  <c r="X9" i="17"/>
  <c r="X21" i="17"/>
  <c r="X13" i="17"/>
  <c r="X15" i="17"/>
  <c r="X12" i="17"/>
  <c r="X11" i="17"/>
  <c r="X16" i="17"/>
  <c r="X18" i="17"/>
  <c r="Y19" i="17" l="1"/>
  <c r="Y16" i="17"/>
  <c r="Y15" i="17"/>
  <c r="Y18" i="17"/>
  <c r="Y9" i="17"/>
  <c r="Y20" i="17"/>
  <c r="Y21" i="17"/>
  <c r="Y13" i="17"/>
  <c r="Y11" i="17"/>
  <c r="Y14" i="17"/>
  <c r="Y23" i="17"/>
  <c r="Y25" i="17"/>
  <c r="Z7" i="17"/>
  <c r="Y17" i="17"/>
  <c r="Y12" i="17"/>
  <c r="Y24" i="17"/>
  <c r="Y26" i="17"/>
  <c r="Y22" i="17"/>
  <c r="Z25" i="17" l="1"/>
  <c r="Z23" i="17"/>
  <c r="Z9" i="17"/>
  <c r="Z15" i="17"/>
  <c r="AA7" i="17"/>
  <c r="Z17" i="17"/>
  <c r="Z26" i="17"/>
  <c r="Z16" i="17"/>
  <c r="Z14" i="17"/>
  <c r="Z21" i="17"/>
  <c r="Z19" i="17"/>
  <c r="Z12" i="17"/>
  <c r="Z13" i="17"/>
  <c r="Z20" i="17"/>
  <c r="Z11" i="17"/>
  <c r="Z24" i="17"/>
  <c r="Z22" i="17"/>
  <c r="Z18" i="17"/>
  <c r="AA24" i="17" l="1"/>
  <c r="AA12" i="17"/>
  <c r="AB7" i="17"/>
  <c r="AA23" i="17"/>
  <c r="AA14" i="17"/>
  <c r="AA26" i="17"/>
  <c r="AA9" i="17"/>
  <c r="AA25" i="17"/>
  <c r="AA19" i="17"/>
  <c r="AA21" i="17"/>
  <c r="AA22" i="17"/>
  <c r="AA16" i="17"/>
  <c r="AA20" i="17"/>
  <c r="AA11" i="17"/>
  <c r="AA15" i="17"/>
  <c r="AA17" i="17"/>
  <c r="AA13" i="17"/>
  <c r="AA18" i="17"/>
  <c r="AB22" i="17" l="1"/>
  <c r="AB12" i="17"/>
  <c r="AB26" i="17"/>
  <c r="AB21" i="17"/>
  <c r="AB11" i="17"/>
  <c r="AB14" i="17"/>
  <c r="AB24" i="17"/>
  <c r="AB25" i="17"/>
  <c r="AB18" i="17"/>
  <c r="AC7" i="17"/>
  <c r="AB15" i="17"/>
  <c r="AB16" i="17"/>
  <c r="AB23" i="17"/>
  <c r="AB13" i="17"/>
  <c r="AB9" i="17"/>
  <c r="AB17" i="17"/>
  <c r="AB19" i="17"/>
  <c r="AB20" i="17"/>
  <c r="AC22" i="17" l="1"/>
  <c r="AC11" i="17"/>
  <c r="AC19" i="17"/>
  <c r="AC16" i="17"/>
  <c r="AC9" i="17"/>
  <c r="AC12" i="17"/>
  <c r="AC18" i="17"/>
  <c r="AD7" i="17"/>
  <c r="AC15" i="17"/>
  <c r="AC17" i="17"/>
  <c r="AC26" i="17"/>
  <c r="AC14" i="17"/>
  <c r="AC24" i="17"/>
  <c r="AC20" i="17"/>
  <c r="AC23" i="17"/>
  <c r="AC13" i="17"/>
  <c r="AC25" i="17"/>
  <c r="AC21" i="17"/>
  <c r="AD13" i="17" l="1"/>
  <c r="AD19" i="17"/>
  <c r="AD14" i="17"/>
  <c r="AD20" i="17"/>
  <c r="AD25" i="17"/>
  <c r="AD22" i="17"/>
  <c r="AD26" i="17"/>
  <c r="AD11" i="17"/>
  <c r="AD24" i="17"/>
  <c r="AD21" i="17"/>
  <c r="AE7" i="17"/>
  <c r="AD6" i="17"/>
  <c r="AD23" i="17"/>
  <c r="AD16" i="17"/>
  <c r="AD17" i="17"/>
  <c r="AD12" i="17"/>
  <c r="AD18" i="17"/>
  <c r="AD15" i="17"/>
  <c r="AD9" i="17"/>
  <c r="AF7" i="17" l="1"/>
  <c r="AE23" i="17"/>
  <c r="AE20" i="17"/>
  <c r="AE11" i="17"/>
  <c r="AE16" i="17"/>
  <c r="AE19" i="17"/>
  <c r="AE14" i="17"/>
  <c r="AE24" i="17"/>
  <c r="AE21" i="17"/>
  <c r="AE12" i="17"/>
  <c r="AE25" i="17"/>
  <c r="AE17" i="17"/>
  <c r="AE9" i="17"/>
  <c r="AE22" i="17"/>
  <c r="AE18" i="17"/>
  <c r="AE13" i="17"/>
  <c r="AE15" i="17"/>
  <c r="AE26" i="17"/>
  <c r="AF24" i="17" l="1"/>
  <c r="AF25" i="17"/>
  <c r="AF20" i="17"/>
  <c r="AF15" i="17"/>
  <c r="AF11" i="17"/>
  <c r="AF19" i="17"/>
  <c r="AF14" i="17"/>
  <c r="AF13" i="17"/>
  <c r="AF12" i="17"/>
  <c r="AF26" i="17"/>
  <c r="AF9" i="17"/>
  <c r="AF22" i="17"/>
  <c r="AF16" i="17"/>
  <c r="AF21" i="17"/>
  <c r="AF17" i="17"/>
  <c r="AF18" i="17"/>
  <c r="AG7" i="17"/>
  <c r="AF23" i="17"/>
  <c r="AG21" i="17" l="1"/>
  <c r="AG18" i="17"/>
  <c r="AG13" i="17"/>
  <c r="AG12" i="17"/>
  <c r="AG23" i="17"/>
  <c r="AG9" i="17"/>
  <c r="AG17" i="17"/>
  <c r="AG19" i="17"/>
  <c r="AG20" i="17"/>
  <c r="AG26" i="17"/>
  <c r="AG25" i="17"/>
  <c r="AG14" i="17"/>
  <c r="AG16" i="17"/>
  <c r="AH7" i="17"/>
  <c r="AG11" i="17"/>
  <c r="AG22" i="17"/>
  <c r="AG15" i="17"/>
  <c r="AG24" i="17"/>
  <c r="AH15" i="17" l="1"/>
  <c r="AH22" i="17"/>
  <c r="AH24" i="17"/>
  <c r="AH9" i="17"/>
  <c r="AH20" i="17"/>
  <c r="AH14" i="17"/>
  <c r="AH25" i="17"/>
  <c r="AH19" i="17"/>
  <c r="AH16" i="17"/>
  <c r="AH18" i="17"/>
  <c r="AH17" i="17"/>
  <c r="AH23" i="17"/>
  <c r="AH26" i="17"/>
  <c r="AH11" i="17"/>
  <c r="AI7" i="17"/>
  <c r="AH21" i="17"/>
  <c r="AH13" i="17"/>
  <c r="AH12" i="17"/>
  <c r="AI11" i="17" l="1"/>
  <c r="AI22" i="17"/>
  <c r="AI18" i="17"/>
  <c r="AI23" i="17"/>
  <c r="AI17" i="17"/>
  <c r="AI12" i="17"/>
  <c r="AI14" i="17"/>
  <c r="AJ7" i="17"/>
  <c r="AI19" i="17"/>
  <c r="AI24" i="17"/>
  <c r="AI21" i="17"/>
  <c r="AI25" i="17"/>
  <c r="AI26" i="17"/>
  <c r="AI9" i="17"/>
  <c r="AI16" i="17"/>
  <c r="AI20" i="17"/>
  <c r="AI13" i="17"/>
  <c r="AI15" i="17"/>
  <c r="AJ9" i="17" l="1"/>
  <c r="AJ18" i="17"/>
  <c r="AJ17" i="17"/>
  <c r="AJ22" i="17"/>
  <c r="AJ21" i="17"/>
  <c r="AJ15" i="17"/>
  <c r="AJ13" i="17"/>
  <c r="AJ19" i="17"/>
  <c r="AJ24" i="17"/>
  <c r="AJ11" i="17"/>
  <c r="AJ26" i="17"/>
  <c r="AJ23" i="17"/>
  <c r="AJ14" i="17"/>
  <c r="AK7" i="17"/>
  <c r="AJ12" i="17"/>
  <c r="AJ25" i="17"/>
  <c r="AJ20" i="17"/>
  <c r="AJ16" i="17"/>
  <c r="AL7" i="17" l="1"/>
  <c r="AK16" i="17"/>
  <c r="AK24" i="17"/>
  <c r="AK19" i="17"/>
  <c r="AK11" i="17"/>
  <c r="AK21" i="17"/>
  <c r="AK12" i="17"/>
  <c r="AK15" i="17"/>
  <c r="AK18" i="17"/>
  <c r="AK23" i="17"/>
  <c r="AK9" i="17"/>
  <c r="AK20" i="17"/>
  <c r="AK25" i="17"/>
  <c r="AK6" i="17"/>
  <c r="AK22" i="17"/>
  <c r="AK17" i="17"/>
  <c r="AK26" i="17"/>
  <c r="AK13" i="17"/>
  <c r="AK14" i="17"/>
  <c r="AL17" i="17" l="1"/>
  <c r="AL24" i="17"/>
  <c r="AL22" i="17"/>
  <c r="AL19" i="17"/>
  <c r="AL26" i="17"/>
  <c r="AL14" i="17"/>
  <c r="AL25" i="17"/>
  <c r="AL23" i="17"/>
  <c r="AL11" i="17"/>
  <c r="AL20" i="17"/>
  <c r="AL16" i="17"/>
  <c r="AM7" i="17"/>
  <c r="AL15" i="17"/>
  <c r="AL21" i="17"/>
  <c r="AL12" i="17"/>
  <c r="AL18" i="17"/>
  <c r="AL9" i="17"/>
  <c r="AL13" i="17"/>
  <c r="AM15" i="17" l="1"/>
  <c r="AM9" i="17"/>
  <c r="AM11" i="17"/>
  <c r="AM18" i="17"/>
  <c r="AM23" i="17"/>
  <c r="AM22" i="17"/>
  <c r="AM17" i="17"/>
  <c r="AM20" i="17"/>
  <c r="AM12" i="17"/>
  <c r="AM26" i="17"/>
  <c r="AM14" i="17"/>
  <c r="AM16" i="17"/>
  <c r="AN7" i="17"/>
  <c r="AM24" i="17"/>
  <c r="AM21" i="17"/>
  <c r="AM13" i="17"/>
  <c r="AM25" i="17"/>
  <c r="AM19" i="17"/>
  <c r="AN19" i="17" l="1"/>
  <c r="AN17" i="17"/>
  <c r="AN14" i="17"/>
  <c r="AN25" i="17"/>
  <c r="AN22" i="17"/>
  <c r="AN11" i="17"/>
  <c r="AN23" i="17"/>
  <c r="AN16" i="17"/>
  <c r="AN24" i="17"/>
  <c r="AN9" i="17"/>
  <c r="AN26" i="17"/>
  <c r="AN21" i="17"/>
  <c r="AO7" i="17"/>
  <c r="AN13" i="17"/>
  <c r="AN15" i="17"/>
  <c r="AN20" i="17"/>
  <c r="AN12" i="17"/>
  <c r="AN18" i="17"/>
  <c r="AP7" i="17" l="1"/>
  <c r="AO21" i="17"/>
  <c r="AO17" i="17"/>
  <c r="AO26" i="17"/>
  <c r="AO19" i="17"/>
  <c r="AO13" i="17"/>
  <c r="AO9" i="17"/>
  <c r="AO14" i="17"/>
  <c r="AO18" i="17"/>
  <c r="AO16" i="17"/>
  <c r="AO22" i="17"/>
  <c r="AO23" i="17"/>
  <c r="AO11" i="17"/>
  <c r="AO15" i="17"/>
  <c r="AO24" i="17"/>
  <c r="AO25" i="17"/>
  <c r="AO20" i="17"/>
  <c r="AO12" i="17"/>
  <c r="AP15" i="17" l="1"/>
  <c r="AP19" i="17"/>
  <c r="AP16" i="17"/>
  <c r="AP22" i="17"/>
  <c r="AP23" i="17"/>
  <c r="AP13" i="17"/>
  <c r="AQ7" i="17"/>
  <c r="AP26" i="17"/>
  <c r="AP17" i="17"/>
  <c r="AP14" i="17"/>
  <c r="AP18" i="17"/>
  <c r="AP24" i="17"/>
  <c r="AP11" i="17"/>
  <c r="AP21" i="17"/>
  <c r="AP20" i="17"/>
  <c r="AP12" i="17"/>
  <c r="AP9" i="17"/>
  <c r="AP25" i="17"/>
  <c r="AQ15" i="17" l="1"/>
  <c r="AQ22" i="17"/>
  <c r="AQ9" i="17"/>
  <c r="AQ16" i="17"/>
  <c r="AQ21" i="17"/>
  <c r="AQ12" i="17"/>
  <c r="AQ14" i="17"/>
  <c r="AQ25" i="17"/>
  <c r="AQ13" i="17"/>
  <c r="AQ19" i="17"/>
  <c r="AQ18" i="17"/>
  <c r="AQ11" i="17"/>
  <c r="AQ24" i="17"/>
  <c r="AQ26" i="17"/>
  <c r="AQ17" i="17"/>
  <c r="AQ20" i="17"/>
  <c r="AR7" i="17"/>
  <c r="AQ23" i="17"/>
  <c r="AR21" i="17" l="1"/>
  <c r="AR23" i="17"/>
  <c r="AS7" i="17"/>
  <c r="AR22" i="17"/>
  <c r="AR20" i="17"/>
  <c r="AR16" i="17"/>
  <c r="AR26" i="17"/>
  <c r="AR13" i="17"/>
  <c r="AR17" i="17"/>
  <c r="AR12" i="17"/>
  <c r="AR11" i="17"/>
  <c r="AR25" i="17"/>
  <c r="AR24" i="17"/>
  <c r="AR14" i="17"/>
  <c r="AR6" i="17"/>
  <c r="AR19" i="17"/>
  <c r="AR15" i="17"/>
  <c r="AR9" i="17"/>
  <c r="AR18" i="17"/>
  <c r="AS24" i="17" l="1"/>
  <c r="AS13" i="17"/>
  <c r="AS21" i="17"/>
  <c r="AS20" i="17"/>
  <c r="AS18" i="17"/>
  <c r="AS17" i="17"/>
  <c r="AS14" i="17"/>
  <c r="AS15" i="17"/>
  <c r="AS11" i="17"/>
  <c r="AS16" i="17"/>
  <c r="AS23" i="17"/>
  <c r="AS25" i="17"/>
  <c r="AS9" i="17"/>
  <c r="AT7" i="17"/>
  <c r="AS22" i="17"/>
  <c r="AS26" i="17"/>
  <c r="AS19" i="17"/>
  <c r="AS12" i="17"/>
  <c r="AT9" i="17" l="1"/>
  <c r="AT21" i="17"/>
  <c r="AT24" i="17"/>
  <c r="AT22" i="17"/>
  <c r="AT18" i="17"/>
  <c r="AT20" i="17"/>
  <c r="AT12" i="17"/>
  <c r="AT15" i="17"/>
  <c r="AT16" i="17"/>
  <c r="AT23" i="17"/>
  <c r="AT11" i="17"/>
  <c r="AT25" i="17"/>
  <c r="AT17" i="17"/>
  <c r="AT14" i="17"/>
  <c r="AT13" i="17"/>
  <c r="AT26" i="17"/>
  <c r="AU7" i="17"/>
  <c r="AT19" i="17"/>
  <c r="AU25" i="17" l="1"/>
  <c r="AU11" i="17"/>
  <c r="AU16" i="17"/>
  <c r="AU23" i="17"/>
  <c r="AU26" i="17"/>
  <c r="AU17" i="17"/>
  <c r="AV7" i="17"/>
  <c r="AU14" i="17"/>
  <c r="AU20" i="17"/>
  <c r="AU9" i="17"/>
  <c r="AU21" i="17"/>
  <c r="AU12" i="17"/>
  <c r="AU22" i="17"/>
  <c r="AU19" i="17"/>
  <c r="AU13" i="17"/>
  <c r="AU15" i="17"/>
  <c r="AU24" i="17"/>
  <c r="AU18" i="17"/>
  <c r="AV13" i="17" l="1"/>
  <c r="AV19" i="17"/>
  <c r="AW7" i="17"/>
  <c r="AV11" i="17"/>
  <c r="AV23" i="17"/>
  <c r="AV22" i="17"/>
  <c r="AV18" i="17"/>
  <c r="AV17" i="17"/>
  <c r="AV26" i="17"/>
  <c r="AV12" i="17"/>
  <c r="AV21" i="17"/>
  <c r="AV25" i="17"/>
  <c r="AV14" i="17"/>
  <c r="AV20" i="17"/>
  <c r="AV24" i="17"/>
  <c r="AV9" i="17"/>
  <c r="AV15" i="17"/>
  <c r="AV16" i="17"/>
  <c r="AW14" i="17" l="1"/>
  <c r="AW15" i="17"/>
  <c r="AW18" i="17"/>
  <c r="AW17" i="17"/>
  <c r="AW20" i="17"/>
  <c r="AW23" i="17"/>
  <c r="AW24" i="17"/>
  <c r="AW26" i="17"/>
  <c r="AW13" i="17"/>
  <c r="AW12" i="17"/>
  <c r="AW22" i="17"/>
  <c r="AX7" i="17"/>
  <c r="AW11" i="17"/>
  <c r="AW9" i="17"/>
  <c r="AW25" i="17"/>
  <c r="AW21" i="17"/>
  <c r="AW19" i="17"/>
  <c r="AW16" i="17"/>
  <c r="AX14" i="17" l="1"/>
  <c r="AX21" i="17"/>
  <c r="AX17" i="17"/>
  <c r="AX12" i="17"/>
  <c r="AX26" i="17"/>
  <c r="AX24" i="17"/>
  <c r="AX15" i="17"/>
  <c r="AX19" i="17"/>
  <c r="AX18" i="17"/>
  <c r="AX9" i="17"/>
  <c r="AX11" i="17"/>
  <c r="AX16" i="17"/>
  <c r="AX13" i="17"/>
  <c r="AX25" i="17"/>
  <c r="AX23" i="17"/>
  <c r="AX22" i="17"/>
  <c r="AY7" i="17"/>
  <c r="AX20" i="17"/>
  <c r="AY6" i="17" l="1"/>
  <c r="AY14" i="17"/>
  <c r="AY13" i="17"/>
  <c r="AY21" i="17"/>
  <c r="AZ7" i="17"/>
  <c r="AY19" i="17"/>
  <c r="AY17" i="17"/>
  <c r="AY22" i="17"/>
  <c r="AY23" i="17"/>
  <c r="AY18" i="17"/>
  <c r="AY26" i="17"/>
  <c r="AY11" i="17"/>
  <c r="AY12" i="17"/>
  <c r="AY9" i="17"/>
  <c r="AY20" i="17"/>
  <c r="AY15" i="17"/>
  <c r="AY24" i="17"/>
  <c r="AY25" i="17"/>
  <c r="AY16" i="17"/>
  <c r="BA7" i="17" l="1"/>
  <c r="AZ21" i="17"/>
  <c r="AZ11" i="17"/>
  <c r="AZ26" i="17"/>
  <c r="AZ20" i="17"/>
  <c r="AZ14" i="17"/>
  <c r="AZ19" i="17"/>
  <c r="AZ24" i="17"/>
  <c r="AZ9" i="17"/>
  <c r="AZ17" i="17"/>
  <c r="AZ13" i="17"/>
  <c r="AZ25" i="17"/>
  <c r="AZ15" i="17"/>
  <c r="AZ23" i="17"/>
  <c r="AZ22" i="17"/>
  <c r="AZ12" i="17"/>
  <c r="AZ16" i="17"/>
  <c r="AZ18" i="17"/>
  <c r="BA18" i="17" l="1"/>
  <c r="BA9" i="17"/>
  <c r="BA26" i="17"/>
  <c r="BA24" i="17"/>
  <c r="BA17" i="17"/>
  <c r="BA19" i="17"/>
  <c r="BA21" i="17"/>
  <c r="BA14" i="17"/>
  <c r="BA15" i="17"/>
  <c r="BB7" i="17"/>
  <c r="BA23" i="17"/>
  <c r="BA16" i="17"/>
  <c r="BA12" i="17"/>
  <c r="BA13" i="17"/>
  <c r="BA25" i="17"/>
  <c r="BA11" i="17"/>
  <c r="BA22" i="17"/>
  <c r="BA20" i="17"/>
  <c r="BB25" i="17" l="1"/>
  <c r="BB24" i="17"/>
  <c r="BB23" i="17"/>
  <c r="BB20" i="17"/>
  <c r="BB26" i="17"/>
  <c r="BB11" i="17"/>
  <c r="BB14" i="17"/>
  <c r="BB13" i="17"/>
  <c r="BB18" i="17"/>
  <c r="BB15" i="17"/>
  <c r="BB16" i="17"/>
  <c r="BB21" i="17"/>
  <c r="BB22" i="17"/>
  <c r="BB17" i="17"/>
  <c r="BB9" i="17"/>
  <c r="BC7" i="17"/>
  <c r="BB19" i="17"/>
  <c r="BB12" i="17"/>
  <c r="BC9" i="17" l="1"/>
  <c r="BC13" i="17"/>
  <c r="BC14" i="17"/>
  <c r="BC25" i="17"/>
  <c r="BD7" i="17"/>
  <c r="BC24" i="17"/>
  <c r="BC12" i="17"/>
  <c r="BC22" i="17"/>
  <c r="BC21" i="17"/>
  <c r="BC17" i="17"/>
  <c r="BC15" i="17"/>
  <c r="BC26" i="17"/>
  <c r="BC16" i="17"/>
  <c r="BC11" i="17"/>
  <c r="BC23" i="17"/>
  <c r="BC18" i="17"/>
  <c r="BC19" i="17"/>
  <c r="BC20" i="17"/>
  <c r="BE7" i="17" l="1"/>
  <c r="BD26" i="17"/>
  <c r="BD9" i="17"/>
  <c r="BD15" i="17"/>
  <c r="BD12" i="17"/>
  <c r="BD18" i="17"/>
  <c r="BD23" i="17"/>
  <c r="BD11" i="17"/>
  <c r="BD24" i="17"/>
  <c r="BD19" i="17"/>
  <c r="BD17" i="17"/>
  <c r="BD21" i="17"/>
  <c r="BD20" i="17"/>
  <c r="BD14" i="17"/>
  <c r="BD16" i="17"/>
  <c r="BD22" i="17"/>
  <c r="BD25" i="17"/>
  <c r="BD13" i="17"/>
  <c r="BE21" i="17" l="1"/>
  <c r="BE26" i="17"/>
  <c r="BE13" i="17"/>
  <c r="BE23" i="17"/>
  <c r="BE19" i="17"/>
  <c r="BE18" i="17"/>
  <c r="BE22" i="17"/>
  <c r="BE12" i="17"/>
  <c r="BE16" i="17"/>
  <c r="BF7" i="17"/>
  <c r="BE15" i="17"/>
  <c r="BE20" i="17"/>
  <c r="BE9" i="17"/>
  <c r="BE17" i="17"/>
  <c r="BE11" i="17"/>
  <c r="BE14" i="17"/>
  <c r="BE25" i="17"/>
  <c r="BE24" i="17"/>
  <c r="BF9" i="17" l="1"/>
  <c r="BF25" i="17"/>
  <c r="BF20" i="17"/>
  <c r="BF17" i="17"/>
  <c r="BF26" i="17"/>
  <c r="BF24" i="17"/>
  <c r="BG7" i="17"/>
  <c r="BF15" i="17"/>
  <c r="BF22" i="17"/>
  <c r="BF6" i="17"/>
  <c r="BF19" i="17"/>
  <c r="BF13" i="17"/>
  <c r="BF16" i="17"/>
  <c r="BF11" i="17"/>
  <c r="BF23" i="17"/>
  <c r="BF18" i="17"/>
  <c r="BF21" i="17"/>
  <c r="BF14" i="17"/>
  <c r="BF12" i="17"/>
  <c r="BG9" i="17" l="1"/>
  <c r="BG11" i="17"/>
  <c r="BH7" i="17"/>
  <c r="BG21" i="17"/>
  <c r="BG13" i="17"/>
  <c r="BG20" i="17"/>
  <c r="BG22" i="17"/>
  <c r="BG26" i="17"/>
  <c r="BG15" i="17"/>
  <c r="BG23" i="17"/>
  <c r="BG12" i="17"/>
  <c r="BG24" i="17"/>
  <c r="BG25" i="17"/>
  <c r="BG14" i="17"/>
  <c r="BG18" i="17"/>
  <c r="BG17" i="17"/>
  <c r="BG16" i="17"/>
  <c r="BG19" i="17"/>
  <c r="BH13" i="17" l="1"/>
  <c r="BH16" i="17"/>
  <c r="BH18" i="17"/>
  <c r="BH14" i="17"/>
  <c r="BH25" i="17"/>
  <c r="BH15" i="17"/>
  <c r="BH24" i="17"/>
  <c r="BH23" i="17"/>
  <c r="BH26" i="17"/>
  <c r="BH22" i="17"/>
  <c r="BH12" i="17"/>
  <c r="BH9" i="17"/>
  <c r="BH17" i="17"/>
  <c r="BH11" i="17"/>
  <c r="BI7" i="17"/>
  <c r="BH20" i="17"/>
  <c r="BH21" i="17"/>
  <c r="BH19" i="17"/>
  <c r="BI21" i="17" l="1"/>
  <c r="BI26" i="17"/>
  <c r="BI13" i="17"/>
  <c r="BI20" i="17"/>
  <c r="BI22" i="17"/>
  <c r="BI23" i="17"/>
  <c r="BI17" i="17"/>
  <c r="BI18" i="17"/>
  <c r="BI11" i="17"/>
  <c r="BI25" i="17"/>
  <c r="BI12" i="17"/>
  <c r="BI16" i="17"/>
  <c r="BI19" i="17"/>
  <c r="BI15" i="17"/>
  <c r="BJ7" i="17"/>
  <c r="BI14" i="17"/>
  <c r="BI9" i="17"/>
  <c r="BI24" i="17"/>
  <c r="BJ24" i="17" l="1"/>
  <c r="BJ9" i="17"/>
  <c r="BJ21" i="17"/>
  <c r="BJ15" i="17"/>
  <c r="BJ23" i="17"/>
  <c r="BJ13" i="17"/>
  <c r="BK7" i="17"/>
  <c r="BJ17" i="17"/>
  <c r="BJ14" i="17"/>
  <c r="BJ19" i="17"/>
  <c r="BJ25" i="17"/>
  <c r="BJ22" i="17"/>
  <c r="BJ26" i="17"/>
  <c r="BJ20" i="17"/>
  <c r="BJ18" i="17"/>
  <c r="BJ16" i="17"/>
  <c r="BJ12" i="17"/>
  <c r="BJ11" i="17"/>
  <c r="BK25" i="17" l="1"/>
  <c r="BK18" i="17"/>
  <c r="BL7" i="17"/>
  <c r="BK24" i="17"/>
  <c r="BK12" i="17"/>
  <c r="BK16" i="17"/>
  <c r="BK26" i="17"/>
  <c r="BK20" i="17"/>
  <c r="BK15" i="17"/>
  <c r="BK14" i="17"/>
  <c r="BK19" i="17"/>
  <c r="BK21" i="17"/>
  <c r="BK13" i="17"/>
  <c r="BK17" i="17"/>
  <c r="BK22" i="17"/>
  <c r="BK23" i="17"/>
  <c r="BK11" i="17"/>
  <c r="BK9" i="17"/>
  <c r="BL19" i="17" l="1"/>
  <c r="BL13" i="17"/>
  <c r="BL12" i="17"/>
  <c r="BL21" i="17"/>
  <c r="BL16" i="17"/>
  <c r="BL17" i="17"/>
  <c r="BL9" i="17"/>
  <c r="BL15" i="17"/>
  <c r="BL22" i="17"/>
  <c r="BL18" i="17"/>
  <c r="BL14" i="17"/>
  <c r="BL25" i="17"/>
  <c r="BL26" i="17"/>
  <c r="BM7" i="17"/>
  <c r="BL11" i="17"/>
  <c r="BL23" i="17"/>
  <c r="BL20" i="17"/>
  <c r="BL24" i="17"/>
  <c r="BM22" i="17" l="1"/>
  <c r="BM15" i="17"/>
  <c r="BM21" i="17"/>
  <c r="BM19" i="17"/>
  <c r="BM18" i="17"/>
  <c r="BM11" i="17"/>
  <c r="BM20" i="17"/>
  <c r="BM23" i="17"/>
  <c r="BM16" i="17"/>
  <c r="BM25" i="17"/>
  <c r="BM13" i="17"/>
  <c r="BM14" i="17"/>
  <c r="BM24" i="17"/>
  <c r="BM12" i="17"/>
  <c r="BM26" i="17"/>
  <c r="BM9" i="17"/>
  <c r="BN7" i="17"/>
  <c r="BM17" i="17"/>
  <c r="BN21" i="17" l="1"/>
  <c r="BN24" i="17"/>
  <c r="BN22" i="17"/>
  <c r="BN13" i="17"/>
  <c r="BN9" i="17"/>
  <c r="BN11" i="17"/>
  <c r="BO7" i="17"/>
  <c r="BN16" i="17"/>
  <c r="BN23" i="17"/>
  <c r="BN19" i="17"/>
  <c r="BN15" i="17"/>
  <c r="BN14" i="17"/>
  <c r="BN17" i="17"/>
  <c r="BN25" i="17"/>
  <c r="BN12" i="17"/>
  <c r="BN18" i="17"/>
  <c r="BN26" i="17"/>
  <c r="BN20" i="17"/>
  <c r="BO19" i="17" l="1"/>
  <c r="BO21" i="17"/>
  <c r="BP7" i="17"/>
  <c r="BO18" i="17"/>
  <c r="BO25" i="17"/>
  <c r="BO12" i="17"/>
  <c r="BO16" i="17"/>
  <c r="BO22" i="17"/>
  <c r="BO13" i="17"/>
  <c r="BO20" i="17"/>
  <c r="BO11" i="17"/>
  <c r="BO15" i="17"/>
  <c r="BO14" i="17"/>
  <c r="BO26" i="17"/>
  <c r="BO23" i="17"/>
  <c r="BO9" i="17"/>
  <c r="BO17" i="17"/>
  <c r="BO24" i="17"/>
  <c r="BP24" i="17" l="1"/>
  <c r="BP19" i="17"/>
  <c r="BP21" i="17"/>
  <c r="BP17" i="17"/>
  <c r="BP12" i="17"/>
  <c r="BP25" i="17"/>
  <c r="BP20" i="17"/>
  <c r="BP13" i="17"/>
  <c r="BP22" i="17"/>
  <c r="BP16" i="17"/>
  <c r="BP15" i="17"/>
  <c r="BQ7" i="17"/>
  <c r="BP23" i="17"/>
  <c r="BP18" i="17"/>
  <c r="BP11" i="17"/>
  <c r="BP14" i="17"/>
  <c r="BP26" i="17"/>
  <c r="BP9" i="17"/>
  <c r="BQ22" i="17" l="1"/>
  <c r="BQ20" i="17"/>
  <c r="BQ13" i="17"/>
  <c r="BQ11" i="17"/>
  <c r="BQ19" i="17"/>
  <c r="BQ26" i="17"/>
  <c r="BQ25" i="17"/>
  <c r="BQ18" i="17"/>
  <c r="BQ24" i="17"/>
  <c r="BQ14" i="17"/>
  <c r="BQ17" i="17"/>
  <c r="BR7" i="17"/>
  <c r="BQ23" i="17"/>
  <c r="BQ21" i="17"/>
  <c r="BQ16" i="17"/>
  <c r="BQ12" i="17"/>
  <c r="BQ9" i="17"/>
  <c r="BQ15" i="17"/>
  <c r="BR17" i="17" l="1"/>
  <c r="BR23" i="17"/>
  <c r="BR26" i="17"/>
  <c r="BR16" i="17"/>
  <c r="BR20" i="17"/>
  <c r="BR11" i="17"/>
  <c r="BS7" i="17"/>
  <c r="BR13" i="17"/>
  <c r="BR9" i="17"/>
  <c r="BR14" i="17"/>
  <c r="BR21" i="17"/>
  <c r="BR18" i="17"/>
  <c r="BR12" i="17"/>
  <c r="BR15" i="17"/>
  <c r="BR24" i="17"/>
  <c r="BR25" i="17"/>
  <c r="BR22" i="17"/>
  <c r="BR19" i="17"/>
  <c r="BS15" i="17" l="1"/>
  <c r="BS26" i="17"/>
  <c r="BT7" i="17"/>
  <c r="BS14" i="17"/>
  <c r="BS21" i="17"/>
  <c r="BS20" i="17"/>
  <c r="BS18" i="17"/>
  <c r="BS22" i="17"/>
  <c r="BS23" i="17"/>
  <c r="BS17" i="17"/>
  <c r="BS13" i="17"/>
  <c r="BS12" i="17"/>
  <c r="BS19" i="17"/>
  <c r="BS9" i="17"/>
  <c r="BS11" i="17"/>
  <c r="BS25" i="17"/>
  <c r="BS24" i="17"/>
  <c r="BS16" i="17"/>
  <c r="BT9" i="17" l="1"/>
  <c r="BT12" i="17"/>
  <c r="BT11" i="17"/>
  <c r="BT14" i="17"/>
  <c r="BT26" i="17"/>
  <c r="BT20" i="17"/>
  <c r="BT21" i="17"/>
  <c r="BT24" i="17"/>
  <c r="BT18" i="17"/>
  <c r="BT13" i="17"/>
  <c r="BT17" i="17"/>
  <c r="BT15" i="17"/>
  <c r="BT23" i="17"/>
  <c r="BT22" i="17"/>
  <c r="BT19" i="17"/>
  <c r="BT25" i="17"/>
  <c r="BT16" i="1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<sst xmlns="http://schemas.openxmlformats.org/spreadsheetml/2006/main" count="60" uniqueCount="44">
  <si>
    <t>Дата начала проекта:</t>
  </si>
  <si>
    <t>Шаг прокрутки:</t>
  </si>
  <si>
    <t>Описание вехи</t>
  </si>
  <si>
    <t>Чтобы добавить дополнительные данные, вставьте новые строки НАД этой.</t>
  </si>
  <si>
    <t>Категория</t>
  </si>
  <si>
    <t>Низкий риск</t>
  </si>
  <si>
    <t>Средний риск</t>
  </si>
  <si>
    <t>Высокий риск</t>
  </si>
  <si>
    <t>По плану</t>
  </si>
  <si>
    <t>Кому назначено</t>
  </si>
  <si>
    <t>Ход выполнения</t>
  </si>
  <si>
    <t>Начало</t>
  </si>
  <si>
    <t>Условные обозначения:</t>
  </si>
  <si>
    <t>Дни</t>
  </si>
  <si>
    <t>Согласно плану</t>
  </si>
  <si>
    <t>Не назначено</t>
  </si>
  <si>
    <t>Цифровой помощник тьютора</t>
  </si>
  <si>
    <t>Школа 21</t>
  </si>
  <si>
    <t>СВЕДЕНИЯ О ПРОЕКТЕ</t>
  </si>
  <si>
    <r>
      <rPr>
        <b/>
        <sz val="11"/>
        <rFont val="Corbel"/>
        <family val="2"/>
        <charset val="204"/>
      </rPr>
      <t>Условия, необходимые для приемки результатов проекта:</t>
    </r>
    <r>
      <rPr>
        <sz val="11"/>
        <rFont val="Corbel"/>
        <family val="2"/>
      </rPr>
      <t xml:space="preserve">
Решение работает как веб-сервис и/или мобильное приложение, отрабатывает ключевые функции.
Реализованы интерфейсы специалиста, тьютора, родителя и врача с разграничением прав доступа.
Реализована единая форма фиксации наблюдений и результатов занятий.
Реализована визуализация динамики ребёнка (графики, цветовая индикация).
Реализован AI-анализ накопленных данных с формированием подсказок.
AI-выводы сопровождаются указанием данных, на которых они основаны.
Реализована возможность специалисту подтверждать, отклонять или корректировать AI-подсказки.
Обеспечена защита и разграничение доступа к данным ребёнка.
Продемонстрирован полный сценарий: внесение наблюдения → анализ → динамика → подсказка.</t>
    </r>
  </si>
  <si>
    <t>Проект посвящён разработке AI-агента для сбора, структурирования и анализа ежедневных наблюдений за детьми с ограниченными возможностями здоровья (ОВЗ). Решение объединяет единый шаблон фиксации наблюдений, надёжное хранение данных с привязкой к профилю пациента, наглядную визуализацию динамики и прозрачные AI-подсказки для команды сопровождения. Документ демонстрирует подход к запуску проекта: от вопросов, снижающих ключевые риски, до процесса, дорожной карты пилота и ритма коммуникации.</t>
  </si>
  <si>
    <t>Цифровой помощник Тьютора</t>
  </si>
  <si>
    <t>Команда проекта</t>
  </si>
  <si>
    <t>BA/PM</t>
  </si>
  <si>
    <t>Frontend</t>
  </si>
  <si>
    <t>Backend</t>
  </si>
  <si>
    <t>DS</t>
  </si>
  <si>
    <t>Frontend/Backend/DS</t>
  </si>
  <si>
    <t>В1. Старт. Сбор требований и ограничений</t>
  </si>
  <si>
    <t>В2. Согласование единого шаблона наблюдений</t>
  </si>
  <si>
    <t>В3. MVP системы: профили, ключевая форма, база данных, AI-модуль.</t>
  </si>
  <si>
    <t>В4. Тестирование на Тьюторах</t>
  </si>
  <si>
    <t>В5. Доработка MVP по результатам тестирования</t>
  </si>
  <si>
    <t>В3.1 Разработана и утверждена форма наблюдений,</t>
  </si>
  <si>
    <t>В3.2 Eсть модель БД с сохранением записей с уникальным ID и привязкой к профилю и автору, ролевой доступ</t>
  </si>
  <si>
    <t>В3.3 Определена встройка и работа модуля AI-инструментов</t>
  </si>
  <si>
    <t>В2.1 Проведены интервью по 3 группам</t>
  </si>
  <si>
    <t>В2.2 Проведены интервью по 3 группам</t>
  </si>
  <si>
    <t>В2.3 Утверждены роли, поля, черновик критериев качества данных, разбор шаблонных форм, сценарии и тд.</t>
  </si>
  <si>
    <t>В1.1 Установлен состав пилотной группы</t>
  </si>
  <si>
    <t>В1.2 Cогласован план интервью</t>
  </si>
  <si>
    <t>В1.3 Cогласованы цели, критерии успеха пилота, список того, что не входит в MVP и юридические требования к данным; назначен куратор от заказчика</t>
  </si>
  <si>
    <t>В4.1 Проведено обучение пилотной группы (одна сессия плюс инструкция); каждый тьютор самостоятельно создал тестовую запись</t>
  </si>
  <si>
    <t xml:space="preserve">В5.1 Готовый пилот системы.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</si>
</sst>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(* #,##0.00_);_(* \(#,##0.00\);_(* &quot;-&quot;??_);_(@_)"/>
    <numFmt numFmtId="165" formatCode="_-* #,##0.00\ &quot;lei&quot;_-;\-* #,##0.00\ &quot;lei&quot;_-;_-* &quot;-&quot;??\ &quot;lei&quot;_-;_-@_-"/>
    <numFmt numFmtId="166" formatCode="_-* #,##0\ &quot;lei&quot;_-;\-* #,##0\ &quot;lei&quot;_-;_-* &quot;-&quot;\ &quot;lei&quot;_-;_-@_-"/>
    <numFmt numFmtId="167" formatCode="d"/>
    <numFmt numFmtId="168" formatCode="#,##0_ ;\-#,##0\ "/>
  </numFmts>
  <fonts count="48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indexed="12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b/>
      <sz val="11"/>
      <color theme="1" tint="0.499984740745262"/>
      <name val="Calibri"/>
      <family val="2"/>
      <scheme val="minor"/>
    </font>
    <font>
      <sz val="10"/>
      <color theme="1" tint="0.499984740745262"/>
      <name val="Arial"/>
      <family val="2"/>
    </font>
    <font>
      <sz val="20"/>
      <name val="Calibri"/>
      <family val="2"/>
      <scheme val="maj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4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name val="Calibri"/>
      <family val="2"/>
      <scheme val="major"/>
    </font>
    <font>
      <b/>
      <sz val="22"/>
      <name val="Calibri"/>
      <family val="2"/>
      <scheme val="major"/>
    </font>
    <font>
      <b/>
      <sz val="16"/>
      <name val="Calibri"/>
      <family val="2"/>
      <scheme val="minor"/>
    </font>
    <font>
      <b/>
      <sz val="26"/>
      <name val="Calibri"/>
      <family val="2"/>
      <scheme val="major"/>
    </font>
    <font>
      <b/>
      <sz val="16"/>
      <color rgb="FF000000"/>
      <name val="Calibri"/>
      <family val="2"/>
      <scheme val="minor"/>
    </font>
    <font>
      <sz val="22"/>
      <name val="Corbel"/>
      <family val="2"/>
    </font>
    <font>
      <sz val="20"/>
      <color theme="8" tint="0.59999389629810485"/>
      <name val="Calibri"/>
      <family val="2"/>
      <scheme val="major"/>
    </font>
    <font>
      <b/>
      <sz val="24"/>
      <color theme="0"/>
      <name val="Calibri"/>
      <family val="2"/>
      <scheme val="maj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6"/>
      <color rgb="FF000000"/>
      <name val="Calibri"/>
      <family val="2"/>
      <charset val="204"/>
      <scheme val="minor"/>
    </font>
    <font>
      <sz val="11"/>
      <color theme="0" tint="-0.249977111117893"/>
      <name val="Calibri"/>
      <family val="2"/>
      <scheme val="minor"/>
    </font>
    <font>
      <sz val="11"/>
      <name val="Corbel"/>
      <family val="2"/>
    </font>
    <font>
      <b/>
      <sz val="11"/>
      <name val="Corbel"/>
      <family val="2"/>
      <charset val="204"/>
    </font>
    <font>
      <sz val="11"/>
      <name val="Corbel"/>
      <family val="2"/>
      <charset val="204"/>
    </font>
    <font>
      <b/>
      <sz val="12"/>
      <color theme="0"/>
      <name val="Calibri"/>
      <family val="2"/>
      <scheme val="major"/>
    </font>
    <font>
      <b/>
      <sz val="14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7F747"/>
        <bgColor indexed="64"/>
      </patternFill>
    </fill>
  </fills>
  <borders count="3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34998626667073579"/>
      </left>
      <right/>
      <top style="thin">
        <color theme="0" tint="-0.499984740745262"/>
      </top>
      <bottom/>
      <diagonal/>
    </border>
    <border>
      <left/>
      <right style="thin">
        <color theme="0" tint="-0.34998626667073579"/>
      </right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theme="0" tint="-0.499984740745262"/>
      </bottom>
      <diagonal/>
    </border>
    <border>
      <left/>
      <right style="medium">
        <color indexed="64"/>
      </right>
      <top style="thin">
        <color theme="0" tint="-0.499984740745262"/>
      </top>
      <bottom/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3743705557422"/>
      </left>
      <right style="medium">
        <color indexed="64"/>
      </right>
      <top/>
      <bottom/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medium">
        <color indexed="6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4" fillId="0" borderId="0" applyFont="0" applyFill="0" applyBorder="0" applyProtection="0">
      <alignment horizontal="center" vertical="center"/>
    </xf>
    <xf numFmtId="0" fontId="10" fillId="0" borderId="0"/>
    <xf numFmtId="164" fontId="4" fillId="0" borderId="1" applyFont="0" applyFill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Alignment="0" applyProtection="0"/>
    <xf numFmtId="0" fontId="5" fillId="0" borderId="0" applyNumberFormat="0" applyFill="0" applyProtection="0">
      <alignment vertical="top"/>
    </xf>
    <xf numFmtId="0" fontId="4" fillId="0" borderId="0" applyNumberFormat="0" applyFill="0" applyProtection="0">
      <alignment horizontal="right" vertical="center" indent="1"/>
    </xf>
    <xf numFmtId="14" fontId="4" fillId="0" borderId="0" applyFont="0" applyFill="0" applyBorder="0">
      <alignment horizontal="center" vertical="center"/>
    </xf>
    <xf numFmtId="168" fontId="4" fillId="0" borderId="0" applyFont="0" applyFill="0" applyBorder="0" applyProtection="0">
      <alignment horizontal="center" vertical="center"/>
    </xf>
    <xf numFmtId="0" fontId="10" fillId="3" borderId="0" applyNumberFormat="0" applyBorder="0" applyAlignment="0" applyProtection="0"/>
    <xf numFmtId="165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8" borderId="0" applyNumberFormat="0" applyBorder="0" applyAlignment="0" applyProtection="0"/>
    <xf numFmtId="0" fontId="29" fillId="9" borderId="0" applyNumberFormat="0" applyBorder="0" applyAlignment="0" applyProtection="0"/>
    <xf numFmtId="0" fontId="30" fillId="10" borderId="0" applyNumberFormat="0" applyBorder="0" applyAlignment="0" applyProtection="0"/>
    <xf numFmtId="0" fontId="31" fillId="11" borderId="12" applyNumberFormat="0" applyAlignment="0" applyProtection="0"/>
    <xf numFmtId="0" fontId="32" fillId="12" borderId="13" applyNumberFormat="0" applyAlignment="0" applyProtection="0"/>
    <xf numFmtId="0" fontId="33" fillId="12" borderId="12" applyNumberFormat="0" applyAlignment="0" applyProtection="0"/>
    <xf numFmtId="0" fontId="34" fillId="0" borderId="14" applyNumberFormat="0" applyFill="0" applyAlignment="0" applyProtection="0"/>
    <xf numFmtId="0" fontId="18" fillId="13" borderId="15" applyNumberFormat="0" applyAlignment="0" applyProtection="0"/>
    <xf numFmtId="0" fontId="35" fillId="0" borderId="0" applyNumberFormat="0" applyFill="0" applyBorder="0" applyAlignment="0" applyProtection="0"/>
    <xf numFmtId="0" fontId="4" fillId="14" borderId="16" applyNumberFormat="0" applyFont="0" applyAlignment="0" applyProtection="0"/>
    <xf numFmtId="0" fontId="36" fillId="0" borderId="0" applyNumberFormat="0" applyFill="0" applyBorder="0" applyAlignment="0" applyProtection="0"/>
    <xf numFmtId="0" fontId="37" fillId="0" borderId="17" applyNumberFormat="0" applyFill="0" applyAlignment="0" applyProtection="0"/>
    <xf numFmtId="0" fontId="10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10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10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10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10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</cellStyleXfs>
  <cellXfs count="12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7" fillId="0" borderId="0" xfId="0" applyFont="1"/>
    <xf numFmtId="0" fontId="8" fillId="0" borderId="0" xfId="1" applyFont="1" applyAlignment="1" applyProtection="1"/>
    <xf numFmtId="0" fontId="1" fillId="0" borderId="0" xfId="0" applyFont="1"/>
    <xf numFmtId="0" fontId="9" fillId="0" borderId="0" xfId="0" applyFont="1"/>
    <xf numFmtId="0" fontId="1" fillId="0" borderId="0" xfId="0" applyFont="1" applyAlignment="1">
      <alignment vertical="top"/>
    </xf>
    <xf numFmtId="0" fontId="10" fillId="0" borderId="0" xfId="3"/>
    <xf numFmtId="0" fontId="10" fillId="0" borderId="0" xfId="3" applyAlignment="1">
      <alignment wrapText="1"/>
    </xf>
    <xf numFmtId="0" fontId="10" fillId="0" borderId="0" xfId="0" applyFont="1" applyAlignment="1">
      <alignment horizontal="center"/>
    </xf>
    <xf numFmtId="9" fontId="0" fillId="0" borderId="0" xfId="2" applyFont="1" applyFill="1" applyBorder="1">
      <alignment horizontal="center" vertical="center"/>
    </xf>
    <xf numFmtId="14" fontId="0" fillId="0" borderId="0" xfId="9" applyFont="1" applyFill="1" applyBorder="1">
      <alignment horizontal="center" vertical="center"/>
    </xf>
    <xf numFmtId="168" fontId="0" fillId="0" borderId="0" xfId="10" applyFont="1" applyFill="1" applyBorder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3" xfId="0" applyFont="1" applyBorder="1"/>
    <xf numFmtId="14" fontId="3" fillId="0" borderId="0" xfId="9" applyFont="1" applyFill="1">
      <alignment horizontal="center" vertical="center"/>
    </xf>
    <xf numFmtId="168" fontId="3" fillId="0" borderId="0" xfId="10" applyFont="1" applyFill="1">
      <alignment horizontal="center" vertical="center"/>
    </xf>
    <xf numFmtId="0" fontId="0" fillId="0" borderId="0" xfId="0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4" fillId="0" borderId="9" xfId="0" applyFont="1" applyBorder="1"/>
    <xf numFmtId="0" fontId="21" fillId="0" borderId="9" xfId="0" applyFont="1" applyBorder="1" applyAlignment="1">
      <alignment vertical="center"/>
    </xf>
    <xf numFmtId="0" fontId="23" fillId="0" borderId="9" xfId="0" applyFont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1" fillId="7" borderId="1" xfId="0" applyFont="1" applyFill="1" applyBorder="1" applyAlignment="1">
      <alignment horizontal="center" vertical="center" shrinkToFit="1"/>
    </xf>
    <xf numFmtId="0" fontId="24" fillId="0" borderId="0" xfId="6" applyFont="1" applyFill="1" applyAlignment="1">
      <alignment vertical="center"/>
    </xf>
    <xf numFmtId="0" fontId="9" fillId="2" borderId="0" xfId="0" applyFont="1" applyFill="1"/>
    <xf numFmtId="0" fontId="25" fillId="2" borderId="0" xfId="0" applyFont="1" applyFill="1"/>
    <xf numFmtId="0" fontId="20" fillId="2" borderId="0" xfId="6" applyFont="1" applyFill="1" applyAlignment="1">
      <alignment vertical="center"/>
    </xf>
    <xf numFmtId="0" fontId="1" fillId="2" borderId="0" xfId="0" applyFont="1" applyFill="1"/>
    <xf numFmtId="0" fontId="3" fillId="2" borderId="0" xfId="0" applyFont="1" applyFill="1" applyAlignment="1">
      <alignment wrapText="1"/>
    </xf>
    <xf numFmtId="14" fontId="1" fillId="7" borderId="2" xfId="0" applyNumberFormat="1" applyFont="1" applyFill="1" applyBorder="1" applyAlignment="1">
      <alignment horizontal="center" vertical="center"/>
    </xf>
    <xf numFmtId="14" fontId="1" fillId="7" borderId="10" xfId="0" applyNumberFormat="1" applyFont="1" applyFill="1" applyBorder="1" applyAlignment="1">
      <alignment horizontal="center" vertical="center"/>
    </xf>
    <xf numFmtId="14" fontId="1" fillId="7" borderId="11" xfId="0" applyNumberFormat="1" applyFont="1" applyFill="1" applyBorder="1" applyAlignment="1">
      <alignment horizontal="center" vertical="center"/>
    </xf>
    <xf numFmtId="14" fontId="1" fillId="7" borderId="3" xfId="0" applyNumberFormat="1" applyFont="1" applyFill="1" applyBorder="1" applyAlignment="1">
      <alignment horizontal="center" vertical="center"/>
    </xf>
    <xf numFmtId="167" fontId="1" fillId="7" borderId="7" xfId="0" applyNumberFormat="1" applyFont="1" applyFill="1" applyBorder="1" applyAlignment="1">
      <alignment horizontal="center" vertical="center"/>
    </xf>
    <xf numFmtId="167" fontId="1" fillId="7" borderId="5" xfId="0" applyNumberFormat="1" applyFont="1" applyFill="1" applyBorder="1" applyAlignment="1">
      <alignment horizontal="center" vertical="center"/>
    </xf>
    <xf numFmtId="167" fontId="1" fillId="7" borderId="8" xfId="0" applyNumberFormat="1" applyFont="1" applyFill="1" applyBorder="1" applyAlignment="1">
      <alignment horizontal="center" vertical="center"/>
    </xf>
    <xf numFmtId="9" fontId="15" fillId="38" borderId="0" xfId="2" applyFont="1" applyFill="1" applyBorder="1">
      <alignment horizontal="center" vertical="center"/>
    </xf>
    <xf numFmtId="14" fontId="3" fillId="38" borderId="0" xfId="9" applyFont="1" applyFill="1" applyBorder="1">
      <alignment horizontal="center" vertical="center"/>
    </xf>
    <xf numFmtId="0" fontId="41" fillId="0" borderId="0" xfId="0" applyFont="1" applyAlignment="1">
      <alignment horizontal="left" vertical="center" wrapText="1" indent="1"/>
    </xf>
    <xf numFmtId="0" fontId="9" fillId="39" borderId="0" xfId="0" applyFont="1" applyFill="1"/>
    <xf numFmtId="0" fontId="26" fillId="39" borderId="0" xfId="6" applyFont="1" applyFill="1" applyAlignment="1">
      <alignment horizontal="left" vertical="center"/>
    </xf>
    <xf numFmtId="0" fontId="39" fillId="0" borderId="18" xfId="0" applyFont="1" applyBorder="1" applyAlignment="1">
      <alignment vertical="center"/>
    </xf>
    <xf numFmtId="0" fontId="3" fillId="0" borderId="19" xfId="0" applyFont="1" applyBorder="1" applyAlignment="1">
      <alignment horizontal="center" vertical="center"/>
    </xf>
    <xf numFmtId="9" fontId="15" fillId="0" borderId="19" xfId="2" applyFont="1" applyFill="1" applyBorder="1">
      <alignment horizontal="center" vertical="center"/>
    </xf>
    <xf numFmtId="14" fontId="3" fillId="0" borderId="19" xfId="9" applyFont="1" applyFill="1" applyBorder="1">
      <alignment horizontal="center" vertical="center"/>
    </xf>
    <xf numFmtId="168" fontId="3" fillId="0" borderId="20" xfId="10" applyFont="1" applyFill="1" applyBorder="1">
      <alignment horizontal="center" vertical="center"/>
    </xf>
    <xf numFmtId="0" fontId="40" fillId="0" borderId="18" xfId="0" applyFont="1" applyBorder="1" applyAlignment="1">
      <alignment vertical="center"/>
    </xf>
    <xf numFmtId="0" fontId="38" fillId="0" borderId="21" xfId="0" applyFont="1" applyBorder="1" applyAlignment="1">
      <alignment horizontal="left" vertical="top"/>
    </xf>
    <xf numFmtId="0" fontId="3" fillId="0" borderId="22" xfId="0" applyFont="1" applyBorder="1" applyAlignment="1">
      <alignment horizontal="center" vertical="center"/>
    </xf>
    <xf numFmtId="9" fontId="15" fillId="0" borderId="22" xfId="2" applyFont="1" applyFill="1" applyBorder="1">
      <alignment horizontal="center" vertical="center"/>
    </xf>
    <xf numFmtId="14" fontId="3" fillId="0" borderId="22" xfId="9" applyFont="1" applyFill="1" applyBorder="1">
      <alignment horizontal="center" vertical="center"/>
    </xf>
    <xf numFmtId="168" fontId="3" fillId="0" borderId="23" xfId="10" applyFont="1" applyFill="1" applyBorder="1">
      <alignment horizontal="center" vertical="center"/>
    </xf>
    <xf numFmtId="0" fontId="38" fillId="38" borderId="24" xfId="0" applyFont="1" applyFill="1" applyBorder="1" applyAlignment="1">
      <alignment horizontal="left" vertical="top"/>
    </xf>
    <xf numFmtId="0" fontId="3" fillId="38" borderId="0" xfId="0" applyFont="1" applyFill="1" applyAlignment="1">
      <alignment horizontal="center" vertical="center"/>
    </xf>
    <xf numFmtId="168" fontId="3" fillId="38" borderId="25" xfId="10" applyFont="1" applyFill="1" applyBorder="1">
      <alignment horizontal="center" vertical="center"/>
    </xf>
    <xf numFmtId="0" fontId="38" fillId="0" borderId="26" xfId="0" applyFont="1" applyBorder="1" applyAlignment="1">
      <alignment horizontal="left" vertical="top" wrapText="1"/>
    </xf>
    <xf numFmtId="0" fontId="3" fillId="0" borderId="27" xfId="0" applyFont="1" applyBorder="1" applyAlignment="1">
      <alignment horizontal="center" vertical="center"/>
    </xf>
    <xf numFmtId="9" fontId="15" fillId="0" borderId="27" xfId="2" applyFont="1" applyFill="1" applyBorder="1">
      <alignment horizontal="center" vertical="center"/>
    </xf>
    <xf numFmtId="14" fontId="3" fillId="0" borderId="27" xfId="9" applyFont="1" applyFill="1" applyBorder="1">
      <alignment horizontal="center" vertical="center"/>
    </xf>
    <xf numFmtId="168" fontId="3" fillId="0" borderId="28" xfId="10" applyFont="1" applyFill="1" applyBorder="1">
      <alignment horizontal="center" vertical="center"/>
    </xf>
    <xf numFmtId="0" fontId="38" fillId="0" borderId="21" xfId="0" applyFont="1" applyBorder="1" applyAlignment="1">
      <alignment vertical="top" wrapText="1"/>
    </xf>
    <xf numFmtId="0" fontId="38" fillId="38" borderId="24" xfId="0" applyFont="1" applyFill="1" applyBorder="1" applyAlignment="1">
      <alignment vertical="top" wrapText="1"/>
    </xf>
    <xf numFmtId="0" fontId="38" fillId="0" borderId="26" xfId="0" applyFont="1" applyBorder="1" applyAlignment="1">
      <alignment vertical="top" wrapText="1"/>
    </xf>
    <xf numFmtId="0" fontId="38" fillId="0" borderId="18" xfId="0" applyFont="1" applyBorder="1" applyAlignment="1">
      <alignment wrapText="1"/>
    </xf>
    <xf numFmtId="0" fontId="38" fillId="0" borderId="18" xfId="0" applyFont="1" applyBorder="1" applyAlignment="1">
      <alignment vertical="top"/>
    </xf>
    <xf numFmtId="0" fontId="18" fillId="6" borderId="18" xfId="0" applyFont="1" applyFill="1" applyBorder="1" applyAlignment="1">
      <alignment horizontal="left" vertical="center" indent="1"/>
    </xf>
    <xf numFmtId="0" fontId="18" fillId="6" borderId="19" xfId="0" applyFont="1" applyFill="1" applyBorder="1" applyAlignment="1">
      <alignment horizontal="center" vertical="center" wrapText="1"/>
    </xf>
    <xf numFmtId="0" fontId="18" fillId="6" borderId="20" xfId="0" applyFont="1" applyFill="1" applyBorder="1" applyAlignment="1">
      <alignment horizontal="center" vertical="center" wrapText="1"/>
    </xf>
    <xf numFmtId="0" fontId="21" fillId="0" borderId="21" xfId="6" applyFont="1" applyFill="1" applyBorder="1" applyAlignment="1">
      <alignment horizontal="left" vertical="center" indent="2"/>
    </xf>
    <xf numFmtId="0" fontId="16" fillId="0" borderId="22" xfId="6" applyFont="1" applyFill="1" applyBorder="1" applyAlignment="1">
      <alignment horizontal="left" vertical="center" indent="2"/>
    </xf>
    <xf numFmtId="0" fontId="3" fillId="0" borderId="22" xfId="0" applyFont="1" applyBorder="1" applyAlignment="1">
      <alignment horizontal="left" vertical="center" indent="2"/>
    </xf>
    <xf numFmtId="0" fontId="3" fillId="0" borderId="22" xfId="0" applyFont="1" applyBorder="1"/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right" vertical="center"/>
    </xf>
    <xf numFmtId="0" fontId="21" fillId="0" borderId="26" xfId="0" applyFont="1" applyBorder="1" applyAlignment="1">
      <alignment horizontal="left" vertical="center" indent="2"/>
    </xf>
    <xf numFmtId="0" fontId="3" fillId="0" borderId="27" xfId="0" applyFont="1" applyBorder="1" applyAlignment="1">
      <alignment horizontal="left" vertical="center" indent="2"/>
    </xf>
    <xf numFmtId="0" fontId="3" fillId="0" borderId="27" xfId="0" applyFont="1" applyBorder="1"/>
    <xf numFmtId="0" fontId="3" fillId="0" borderId="27" xfId="0" applyFont="1" applyBorder="1" applyAlignment="1">
      <alignment horizontal="center"/>
    </xf>
    <xf numFmtId="0" fontId="3" fillId="0" borderId="28" xfId="0" applyFont="1" applyBorder="1"/>
    <xf numFmtId="0" fontId="3" fillId="0" borderId="18" xfId="8" applyFont="1" applyFill="1" applyBorder="1" applyAlignment="1">
      <alignment horizontal="left" vertical="center" indent="2"/>
    </xf>
    <xf numFmtId="14" fontId="3" fillId="0" borderId="19" xfId="9" applyFont="1" applyFill="1" applyBorder="1" applyAlignment="1">
      <alignment horizontal="left" vertical="center"/>
    </xf>
    <xf numFmtId="14" fontId="3" fillId="0" borderId="19" xfId="9" applyFont="1" applyFill="1" applyBorder="1" applyAlignment="1">
      <alignment horizontal="left" vertical="center" indent="2"/>
    </xf>
    <xf numFmtId="0" fontId="3" fillId="0" borderId="19" xfId="0" applyFont="1" applyBorder="1"/>
    <xf numFmtId="0" fontId="3" fillId="0" borderId="19" xfId="0" applyFont="1" applyBorder="1" applyAlignment="1">
      <alignment horizontal="center"/>
    </xf>
    <xf numFmtId="0" fontId="3" fillId="0" borderId="20" xfId="0" applyFont="1" applyBorder="1"/>
    <xf numFmtId="0" fontId="38" fillId="0" borderId="21" xfId="0" applyFont="1" applyBorder="1" applyAlignment="1">
      <alignment vertical="top"/>
    </xf>
    <xf numFmtId="0" fontId="38" fillId="38" borderId="24" xfId="0" applyFont="1" applyFill="1" applyBorder="1" applyAlignment="1">
      <alignment vertical="top"/>
    </xf>
    <xf numFmtId="0" fontId="1" fillId="0" borderId="26" xfId="0" applyFont="1" applyBorder="1" applyAlignment="1">
      <alignment vertical="top" wrapText="1"/>
    </xf>
    <xf numFmtId="0" fontId="3" fillId="2" borderId="22" xfId="0" applyFont="1" applyFill="1" applyBorder="1"/>
    <xf numFmtId="0" fontId="3" fillId="2" borderId="23" xfId="0" applyFont="1" applyFill="1" applyBorder="1"/>
    <xf numFmtId="0" fontId="20" fillId="0" borderId="24" xfId="5" applyFont="1" applyFill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0" fillId="0" borderId="25" xfId="0" applyBorder="1"/>
    <xf numFmtId="0" fontId="14" fillId="0" borderId="29" xfId="0" applyFont="1" applyBorder="1"/>
    <xf numFmtId="0" fontId="47" fillId="0" borderId="24" xfId="8" applyFont="1" applyFill="1" applyBorder="1" applyAlignment="1">
      <alignment horizontal="left" vertical="center" indent="2"/>
    </xf>
    <xf numFmtId="0" fontId="4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2"/>
    </xf>
    <xf numFmtId="167" fontId="1" fillId="7" borderId="30" xfId="0" applyNumberFormat="1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 vertical="center" indent="2"/>
    </xf>
    <xf numFmtId="14" fontId="1" fillId="7" borderId="0" xfId="0" applyNumberFormat="1" applyFont="1" applyFill="1" applyAlignment="1">
      <alignment horizontal="center" vertical="center"/>
    </xf>
    <xf numFmtId="14" fontId="1" fillId="7" borderId="25" xfId="0" applyNumberFormat="1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 shrinkToFit="1"/>
    </xf>
    <xf numFmtId="0" fontId="0" fillId="0" borderId="24" xfId="0" applyBorder="1" applyAlignment="1">
      <alignment horizontal="left" wrapText="1" indent="2"/>
    </xf>
    <xf numFmtId="0" fontId="0" fillId="0" borderId="0" xfId="0" applyAlignment="1">
      <alignment horizontal="center" vertical="center" wrapText="1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45" fillId="39" borderId="0" xfId="6" applyFont="1" applyFill="1" applyAlignment="1">
      <alignment horizontal="left" vertical="center"/>
    </xf>
    <xf numFmtId="0" fontId="42" fillId="2" borderId="0" xfId="6" applyFont="1" applyFill="1" applyAlignment="1">
      <alignment horizontal="left" vertical="top" wrapText="1"/>
    </xf>
    <xf numFmtId="0" fontId="44" fillId="2" borderId="0" xfId="6" applyFont="1" applyFill="1" applyAlignment="1">
      <alignment horizontal="left" vertical="top" wrapText="1"/>
    </xf>
    <xf numFmtId="0" fontId="22" fillId="2" borderId="21" xfId="5" applyFont="1" applyFill="1" applyBorder="1" applyAlignment="1">
      <alignment horizontal="left" vertical="center" indent="1"/>
    </xf>
    <xf numFmtId="0" fontId="22" fillId="2" borderId="22" xfId="5" applyFont="1" applyFill="1" applyBorder="1" applyAlignment="1">
      <alignment horizontal="left" vertical="center" indent="1"/>
    </xf>
    <xf numFmtId="0" fontId="16" fillId="2" borderId="22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13" fillId="5" borderId="0" xfId="11" applyFont="1" applyFill="1" applyBorder="1" applyAlignment="1">
      <alignment horizontal="center" vertical="center"/>
    </xf>
    <xf numFmtId="0" fontId="46" fillId="42" borderId="0" xfId="0" applyFont="1" applyFill="1" applyAlignment="1">
      <alignment horizontal="center" vertical="center"/>
    </xf>
    <xf numFmtId="0" fontId="13" fillId="41" borderId="0" xfId="0" applyFont="1" applyFill="1" applyAlignment="1">
      <alignment horizontal="center" vertical="center"/>
    </xf>
    <xf numFmtId="0" fontId="13" fillId="40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</cellXfs>
  <cellStyles count="50">
    <cellStyle name="20% — акцент1" xfId="28" builtinId="30" customBuiltin="1"/>
    <cellStyle name="20% — акцент2" xfId="32" builtinId="34" customBuiltin="1"/>
    <cellStyle name="20% — акцент3" xfId="35" builtinId="38" customBuiltin="1"/>
    <cellStyle name="20% — акцент4" xfId="39" builtinId="42" customBuiltin="1"/>
    <cellStyle name="20% — акцент5" xfId="43" builtinId="46" customBuiltin="1"/>
    <cellStyle name="20% — акцент6" xfId="47" builtinId="50" customBuiltin="1"/>
    <cellStyle name="40% — акцент1" xfId="29" builtinId="31" customBuiltin="1"/>
    <cellStyle name="40% — акцент2" xfId="33" builtinId="35" customBuiltin="1"/>
    <cellStyle name="40% — акцент3" xfId="36" builtinId="39" customBuiltin="1"/>
    <cellStyle name="40% — акцент4" xfId="40" builtinId="43" customBuiltin="1"/>
    <cellStyle name="40% — акцент5" xfId="44" builtinId="47" customBuiltin="1"/>
    <cellStyle name="40% — акцент6" xfId="48" builtinId="51" customBuiltin="1"/>
    <cellStyle name="60% — акцент1" xfId="30" builtinId="32" customBuiltin="1"/>
    <cellStyle name="60% — акцент2" xfId="34" builtinId="36" customBuiltin="1"/>
    <cellStyle name="60% — акцент3" xfId="37" builtinId="40" customBuiltin="1"/>
    <cellStyle name="60% — акцент4" xfId="41" builtinId="44" customBuiltin="1"/>
    <cellStyle name="60% — акцент5" xfId="45" builtinId="48" customBuiltin="1"/>
    <cellStyle name="60% — акцент6" xfId="49" builtinId="52" customBuiltin="1"/>
    <cellStyle name="zСкрытыйТекст" xfId="3" xr:uid="{26E66EE6-E33F-4D77-BAE4-0FB4F5BBF673}"/>
    <cellStyle name="Акцент1" xfId="27" builtinId="29" customBuiltin="1"/>
    <cellStyle name="Акцент2" xfId="31" builtinId="33" customBuiltin="1"/>
    <cellStyle name="Акцент3" xfId="11" builtinId="37" customBuiltin="1"/>
    <cellStyle name="Акцент4" xfId="38" builtinId="41" customBuiltin="1"/>
    <cellStyle name="Акцент5" xfId="42" builtinId="45" customBuiltin="1"/>
    <cellStyle name="Акцент6" xfId="46" builtinId="49" customBuiltin="1"/>
    <cellStyle name="Ввод " xfId="18" builtinId="20" customBuiltin="1"/>
    <cellStyle name="Вывод" xfId="19" builtinId="21" customBuiltin="1"/>
    <cellStyle name="Вычисление" xfId="20" builtinId="22" customBuiltin="1"/>
    <cellStyle name="Гиперссылка" xfId="1" builtinId="8" customBuiltin="1"/>
    <cellStyle name="Дата" xfId="9" xr:uid="{229918B6-DD13-4F5A-97B9-305F7E002AA3}"/>
    <cellStyle name="Денежный" xfId="12" builtinId="4" customBuiltin="1"/>
    <cellStyle name="Денежный [0]" xfId="13" builtinId="7" customBuiltin="1"/>
    <cellStyle name="Заголовок 1" xfId="6" builtinId="16" customBuiltin="1"/>
    <cellStyle name="Заголовок 2" xfId="7" builtinId="17" customBuiltin="1"/>
    <cellStyle name="Заголовок 3" xfId="8" builtinId="18" customBuiltin="1"/>
    <cellStyle name="Заголовок 4" xfId="14" builtinId="19" customBuiltin="1"/>
    <cellStyle name="Итог" xfId="26" builtinId="25" customBuiltin="1"/>
    <cellStyle name="Контрольная ячейка" xfId="22" builtinId="23" customBuiltin="1"/>
    <cellStyle name="Название" xfId="5" builtinId="15" customBuiltin="1"/>
    <cellStyle name="Нейтральный" xfId="17" builtinId="28" customBuiltin="1"/>
    <cellStyle name="Обычный" xfId="0" builtinId="0" customBuiltin="1"/>
    <cellStyle name="Плохой" xfId="16" builtinId="27" customBuiltin="1"/>
    <cellStyle name="Пояснение" xfId="25" builtinId="53" customBuiltin="1"/>
    <cellStyle name="Примечание" xfId="24" builtinId="10" customBuiltin="1"/>
    <cellStyle name="Процентный" xfId="2" builtinId="5" customBuiltin="1"/>
    <cellStyle name="Связанная ячейка" xfId="21" builtinId="24" customBuiltin="1"/>
    <cellStyle name="Текст предупреждения" xfId="23" builtinId="11" customBuiltin="1"/>
    <cellStyle name="Финансовый" xfId="4" builtinId="3" customBuiltin="1"/>
    <cellStyle name="Финансовый [0]" xfId="10" builtinId="6" customBuiltin="1"/>
    <cellStyle name="Хороший" xfId="15" builtinId="26" customBuiltin="1"/>
  </cellStyles>
  <dxfs count="32">
    <dxf>
      <font>
        <b/>
        <i val="0"/>
        <color theme="0"/>
      </font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auto="1"/>
      </font>
      <fill>
        <patternFill>
          <bgColor theme="0" tint="-0.14996795556505021"/>
        </patternFill>
      </fill>
      <border>
        <left/>
        <right/>
        <top/>
        <bottom style="thin">
          <color theme="0" tint="-0.34998626667073579"/>
        </bottom>
      </border>
    </dxf>
    <dxf>
      <fill>
        <patternFill>
          <bgColor theme="2" tint="-9.9948118533890809E-2"/>
        </patternFill>
      </fill>
      <border>
        <left/>
        <right/>
        <top/>
        <bottom/>
        <vertical/>
        <horizontal/>
      </border>
    </dxf>
    <dxf>
      <fill>
        <patternFill>
          <bgColor rgb="FFFFC000"/>
        </patternFill>
      </fill>
      <border>
        <left/>
        <right/>
        <top/>
        <bottom/>
        <vertical/>
        <horizontal/>
      </border>
    </dxf>
    <dxf>
      <fill>
        <patternFill>
          <bgColor theme="6"/>
        </patternFill>
      </fill>
      <border>
        <left/>
        <right/>
        <top/>
        <bottom/>
      </border>
    </dxf>
    <dxf>
      <fill>
        <patternFill>
          <bgColor rgb="FFFF0000"/>
        </patternFill>
      </fill>
      <border>
        <left/>
        <right/>
        <top/>
        <bottom/>
      </border>
    </dxf>
    <dxf>
      <fill>
        <patternFill>
          <bgColor rgb="FFF7F747"/>
        </patternFill>
      </fill>
      <border>
        <left/>
        <right/>
        <top/>
        <bottom/>
      </border>
    </dxf>
    <dxf>
      <font>
        <color auto="1"/>
      </font>
      <fill>
        <patternFill>
          <bgColor theme="0" tint="-4.9989318521683403E-2"/>
        </patternFill>
      </fill>
      <border>
        <left/>
        <right/>
        <top/>
        <bottom style="thin">
          <color theme="0" tint="-0.34998626667073579"/>
        </bottom>
        <vertical/>
        <horizontal/>
      </border>
    </dxf>
    <dxf>
      <font>
        <b/>
        <i val="0"/>
        <color theme="0"/>
      </font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auto="1"/>
      </font>
      <fill>
        <patternFill>
          <bgColor theme="0" tint="-0.14996795556505021"/>
        </patternFill>
      </fill>
      <border>
        <left/>
        <right/>
        <top/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bottom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border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</dxf>
    <dxf>
      <font>
        <b val="0"/>
        <i val="0"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0"/>
      </font>
      <fill>
        <patternFill patternType="solid">
          <fgColor theme="4"/>
          <bgColor theme="4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border diagonalUp="0" diagonalDown="0">
        <left/>
        <right/>
        <top/>
        <bottom/>
        <vertical/>
        <horizontal/>
      </border>
    </dxf>
    <dxf>
      <fill>
        <patternFill>
          <bgColor theme="1" tint="0.24994659260841701"/>
        </patternFill>
      </fill>
    </dxf>
    <dxf>
      <fill>
        <patternFill patternType="solid">
          <fgColor indexed="64"/>
          <bgColor theme="1" tint="0.34998626667073579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  <border diagonalUp="0" diagonalDown="0">
        <left/>
        <right/>
        <top/>
        <bottom/>
        <vertical/>
        <horizontal/>
      </border>
    </dxf>
    <dxf>
      <font>
        <strike val="0"/>
        <color auto="1"/>
      </font>
      <border diagonalUp="0" diagonalDown="0">
        <left/>
        <right/>
        <top/>
        <bottom/>
        <vertical/>
        <horizontal/>
      </border>
    </dxf>
  </dxfs>
  <tableStyles count="2" defaultPivotStyle="PivotStyleLight16">
    <tableStyle name="Стиль таблицы Ганта" pivot="0" count="4" xr9:uid="{4904D139-63E4-4221-B7C9-C6C5B7A50FAF}">
      <tableStyleElement type="wholeTable" dxfId="31"/>
      <tableStyleElement type="headerRow" dxfId="30"/>
      <tableStyleElement type="firstRowStripe" dxfId="29"/>
      <tableStyleElement type="secondRowStripe" dxfId="28"/>
    </tableStyle>
    <tableStyle name="СписокДел" pivot="0" count="9" xr9:uid="{00000000-0011-0000-FFFF-FFFF00000000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secondRowStripe" dxfId="21"/>
      <tableStyleElement type="firstColumnStripe" dxfId="20"/>
      <tableStyleElement type="secondColumnStripe" dxfId="1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F7F747"/>
      <color rgb="FFFFFF66"/>
      <color rgb="FFFFFFCC"/>
      <color rgb="FF000000"/>
      <color rgb="FF215881"/>
      <color rgb="FF42648A"/>
      <color rgb="FF969696"/>
      <color rgb="FFC0C0C0"/>
      <color rgb="FF427FC2"/>
      <color rgb="FF4467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Scroll" dx="39" fmlaLink="$C$7" horiz="1" max="365" page="2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</xdr:colOff>
          <xdr:row>7</xdr:row>
          <xdr:rowOff>57150</xdr:rowOff>
        </xdr:from>
        <xdr:to>
          <xdr:col>63</xdr:col>
          <xdr:colOff>228600</xdr:colOff>
          <xdr:row>8</xdr:row>
          <xdr:rowOff>0</xdr:rowOff>
        </xdr:to>
        <xdr:sp macro="" textlink="">
          <xdr:nvSpPr>
            <xdr:cNvPr id="16385" name="Полоса прокрутки 1" descr="Полоса прокрутки для временной шкалы проекта на диаграмме Ганта.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1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82988E-1813-40AE-BDE7-9F0200A703CB}" name="Вехи4352" displayName="Вехи4352" ref="B9:G27" totalsRowShown="0" headerRowDxfId="18" dataDxfId="16" headerRowBorderDxfId="17">
  <autoFilter ref="B9:G27" xr:uid="{29E5A880-80D5-4B65-B5FB-8FB3913D3D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19BF8F6-D0F1-41AD-871D-FE0240C45A93}" name="Описание вехи" dataDxfId="15"/>
    <tableColumn id="2" xr3:uid="{39BD914E-FB02-4352-846C-6D59624DC0B0}" name="Категория" dataDxfId="14"/>
    <tableColumn id="3" xr3:uid="{D274194F-BCA0-44F3-84B2-217254EE241C}" name="Кому назначено" dataDxfId="13"/>
    <tableColumn id="4" xr3:uid="{8385BC6F-56EE-4363-A106-8DB0A1E4EF5A}" name="Ход выполнения" dataDxfId="12"/>
    <tableColumn id="5" xr3:uid="{02926609-7B93-4B6F-BE96-92EC7A949E4B}" name="Начало" dataDxfId="11" dataCellStyle="Дата"/>
    <tableColumn id="6" xr3:uid="{8FF9BE8E-04B7-4B39-AC27-D2E534204BC3}" name="Дни" dataDxfId="10" dataCellStyle="Финансовый [0]"/>
  </tableColumns>
  <tableStyleInfo name="СписокДел" showFirstColumn="1" showLastColumn="0" showRowStripes="1" showColumnStripes="0"/>
  <extLst>
    <ext xmlns:x14="http://schemas.microsoft.com/office/spreadsheetml/2009/9/main" uri="{504A1905-F514-4f6f-8877-14C23A59335A}">
      <x14:table altTextSummary="Эта таблица предназначена для ввода сведений о проекте. Введите описание этапа, задачи, действия и т. д. в столбце &quot;Описание&quot;. Выберите категорию в столбце &quot;Категория&quot;. Назначьте элемент сотруднику в столбце &quot;Кому назначено&quot;. Обновляйте сведения о ходе выполнения и увидите, как столбец &quot;Ход выполнения&quot; обновляется автоматически. Введите дату начала в столбце &quot;Начало&quot; и количество дней в столбце &quot;Число дней&quot;. Данные Ганта в ячейках J9-BM34 обновятся автоматически. Для добавления задач добавляйте в таблицу новые строки."/>
    </ext>
  </extLst>
</table>
</file>

<file path=xl/theme/theme1.xml><?xml version="1.0" encoding="utf-8"?>
<a:theme xmlns:a="http://schemas.openxmlformats.org/drawingml/2006/main" name="Attitude">
  <a:themeElements>
    <a:clrScheme name="Custom 60">
      <a:dk1>
        <a:srgbClr val="000000"/>
      </a:dk1>
      <a:lt1>
        <a:sysClr val="window" lastClr="FFFFFF"/>
      </a:lt1>
      <a:dk2>
        <a:srgbClr val="8439BD"/>
      </a:dk2>
      <a:lt2>
        <a:srgbClr val="FFFFFF"/>
      </a:lt2>
      <a:accent1>
        <a:srgbClr val="0EABB7"/>
      </a:accent1>
      <a:accent2>
        <a:srgbClr val="4868E5"/>
      </a:accent2>
      <a:accent3>
        <a:srgbClr val="20A472"/>
      </a:accent3>
      <a:accent4>
        <a:srgbClr val="B13DC8"/>
      </a:accent4>
      <a:accent5>
        <a:srgbClr val="172DA6"/>
      </a:accent5>
      <a:accent6>
        <a:srgbClr val="00B0F0"/>
      </a:accent6>
      <a:hlink>
        <a:srgbClr val="00B0F0"/>
      </a:hlink>
      <a:folHlink>
        <a:srgbClr val="B036B3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1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20"/>
  <sheetViews>
    <sheetView showGridLines="0" zoomScaleNormal="100" workbookViewId="0">
      <selection activeCell="C6" sqref="C6:E6"/>
    </sheetView>
  </sheetViews>
  <sheetFormatPr defaultColWidth="9.15625" defaultRowHeight="12.9" x14ac:dyDescent="0.5"/>
  <cols>
    <col min="1" max="1" width="4.68359375" style="8" customWidth="1"/>
    <col min="2" max="2" width="2.68359375" style="8" customWidth="1"/>
    <col min="3" max="5" width="40.68359375" style="6" customWidth="1"/>
    <col min="6" max="6" width="2.68359375" style="6" customWidth="1"/>
    <col min="7" max="16384" width="9.15625" style="6"/>
  </cols>
  <sheetData>
    <row r="1" spans="1:13" s="7" customFormat="1" ht="28.2" x14ac:dyDescent="0.95">
      <c r="D1" s="29"/>
    </row>
    <row r="2" spans="1:13" ht="27.3" customHeight="1" x14ac:dyDescent="0.95">
      <c r="A2" s="7"/>
      <c r="B2" s="45"/>
      <c r="C2" s="117" t="s">
        <v>18</v>
      </c>
      <c r="D2" s="117"/>
      <c r="E2" s="117"/>
      <c r="F2" s="45"/>
      <c r="G2" s="7"/>
      <c r="H2" s="7"/>
      <c r="I2" s="7"/>
      <c r="J2" s="7"/>
      <c r="K2" s="7"/>
      <c r="L2" s="7"/>
      <c r="M2" s="7"/>
    </row>
    <row r="3" spans="1:13" ht="37.799999999999997" customHeight="1" x14ac:dyDescent="0.95">
      <c r="A3" s="7"/>
      <c r="B3" s="45"/>
      <c r="C3" s="46" t="s">
        <v>21</v>
      </c>
      <c r="D3" s="46"/>
      <c r="E3" s="46"/>
      <c r="F3" s="45"/>
      <c r="G3" s="7"/>
      <c r="H3" s="7"/>
      <c r="I3" s="7"/>
      <c r="J3" s="7"/>
      <c r="K3" s="7"/>
      <c r="L3" s="7"/>
      <c r="M3" s="7"/>
    </row>
    <row r="4" spans="1:13" ht="14.5" customHeight="1" x14ac:dyDescent="0.95">
      <c r="A4" s="7"/>
      <c r="B4" s="30"/>
      <c r="C4" s="31"/>
      <c r="D4" s="32"/>
      <c r="E4" s="30"/>
      <c r="F4" s="30"/>
      <c r="G4" s="7"/>
      <c r="H4" s="7"/>
      <c r="I4" s="7"/>
      <c r="J4" s="7"/>
      <c r="K4" s="7"/>
      <c r="L4" s="7"/>
      <c r="M4" s="7"/>
    </row>
    <row r="5" spans="1:13" s="8" customFormat="1" ht="89.25" customHeight="1" x14ac:dyDescent="0.95">
      <c r="A5" s="7"/>
      <c r="B5" s="30"/>
      <c r="C5" s="118" t="s">
        <v>20</v>
      </c>
      <c r="D5" s="118"/>
      <c r="E5" s="118"/>
      <c r="F5" s="30"/>
      <c r="G5" s="7"/>
      <c r="H5" s="7"/>
      <c r="I5" s="7"/>
      <c r="J5" s="7"/>
      <c r="K5" s="7"/>
      <c r="L5" s="7"/>
      <c r="M5" s="7"/>
    </row>
    <row r="6" spans="1:13" s="8" customFormat="1" ht="188.4" customHeight="1" x14ac:dyDescent="0.95">
      <c r="A6" s="7"/>
      <c r="B6" s="30"/>
      <c r="C6" s="119" t="s">
        <v>19</v>
      </c>
      <c r="D6" s="118"/>
      <c r="E6" s="118"/>
      <c r="F6" s="30"/>
      <c r="G6" s="7"/>
      <c r="H6" s="7"/>
      <c r="I6" s="7"/>
      <c r="J6" s="7"/>
      <c r="K6" s="7"/>
      <c r="L6" s="7"/>
      <c r="M6" s="7"/>
    </row>
    <row r="7" spans="1:13" ht="14.4" x14ac:dyDescent="0.55000000000000004">
      <c r="A7" s="6"/>
      <c r="B7" s="33"/>
      <c r="C7" s="33"/>
      <c r="D7" s="34"/>
      <c r="E7" s="33"/>
      <c r="F7" s="33"/>
    </row>
    <row r="8" spans="1:13" ht="50.1" customHeight="1" x14ac:dyDescent="0.5">
      <c r="A8" s="6"/>
      <c r="B8" s="6"/>
    </row>
    <row r="9" spans="1:13" ht="14.5" customHeight="1" x14ac:dyDescent="0.5">
      <c r="A9" s="6"/>
      <c r="B9" s="6"/>
    </row>
    <row r="10" spans="1:13" ht="90" customHeight="1" x14ac:dyDescent="0.5">
      <c r="C10" s="8"/>
      <c r="D10" s="8"/>
      <c r="E10" s="8"/>
      <c r="F10" s="8"/>
      <c r="G10" s="8"/>
      <c r="H10" s="8"/>
    </row>
    <row r="11" spans="1:13" ht="14.5" customHeight="1" x14ac:dyDescent="0.5">
      <c r="A11" s="6"/>
      <c r="B11" s="6"/>
    </row>
    <row r="12" spans="1:13" x14ac:dyDescent="0.5">
      <c r="A12" s="6"/>
      <c r="B12" s="6"/>
      <c r="D12" s="8"/>
    </row>
    <row r="13" spans="1:13" x14ac:dyDescent="0.5">
      <c r="A13" s="6"/>
      <c r="B13" s="6"/>
      <c r="D13" s="8"/>
    </row>
    <row r="14" spans="1:13" x14ac:dyDescent="0.5">
      <c r="A14" s="6"/>
      <c r="B14" s="6"/>
      <c r="D14" s="8"/>
    </row>
    <row r="15" spans="1:13" x14ac:dyDescent="0.5">
      <c r="A15" s="6"/>
      <c r="B15" s="6"/>
      <c r="D15" s="8"/>
    </row>
    <row r="16" spans="1:13" x14ac:dyDescent="0.5">
      <c r="A16" s="6"/>
      <c r="B16" s="6"/>
      <c r="D16" s="8"/>
    </row>
    <row r="17" spans="1:4" x14ac:dyDescent="0.5">
      <c r="A17" s="6"/>
      <c r="B17" s="6"/>
      <c r="D17" s="8"/>
    </row>
    <row r="18" spans="1:4" x14ac:dyDescent="0.5">
      <c r="A18" s="6"/>
      <c r="B18" s="6"/>
      <c r="D18" s="8"/>
    </row>
    <row r="19" spans="1:4" x14ac:dyDescent="0.5">
      <c r="A19" s="6"/>
      <c r="B19" s="6"/>
      <c r="D19" s="8"/>
    </row>
    <row r="20" spans="1:4" x14ac:dyDescent="0.5">
      <c r="A20" s="6"/>
      <c r="B20" s="6"/>
      <c r="D20" s="8"/>
    </row>
  </sheetData>
  <mergeCells count="3">
    <mergeCell ref="C2:E2"/>
    <mergeCell ref="C5:E5"/>
    <mergeCell ref="C6:E6"/>
  </mergeCells>
  <pageMargins left="0.5" right="0.5" top="0.5" bottom="0.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BEAD0-786A-4F3A-BCD3-DA7444CB9941}">
  <sheetPr>
    <pageSetUpPr fitToPage="1"/>
  </sheetPr>
  <dimension ref="A1:BT29"/>
  <sheetViews>
    <sheetView showGridLines="0" tabSelected="1" showRuler="0" zoomScale="40" zoomScaleNormal="40" zoomScalePageLayoutView="70" workbookViewId="0">
      <selection activeCell="B2" sqref="B2:BT26"/>
    </sheetView>
  </sheetViews>
  <sheetFormatPr defaultColWidth="8.83984375" defaultRowHeight="30" customHeight="1" x14ac:dyDescent="0.55000000000000004"/>
  <cols>
    <col min="1" max="1" width="4.68359375" style="9" customWidth="1"/>
    <col min="2" max="2" width="48.15625" customWidth="1"/>
    <col min="3" max="3" width="16.578125" customWidth="1"/>
    <col min="4" max="4" width="19.9453125" customWidth="1"/>
    <col min="5" max="5" width="15.68359375" customWidth="1"/>
    <col min="6" max="6" width="10.41796875" style="2" customWidth="1"/>
    <col min="7" max="7" width="10.41796875" customWidth="1"/>
    <col min="8" max="8" width="2.68359375" customWidth="1"/>
    <col min="9" max="72" width="3.578125" customWidth="1"/>
  </cols>
  <sheetData>
    <row r="1" spans="1:72" ht="25.15" customHeight="1" thickBot="1" x14ac:dyDescent="0.6"/>
    <row r="2" spans="1:72" ht="49.9" customHeight="1" x14ac:dyDescent="0.55000000000000004">
      <c r="A2" s="10"/>
      <c r="B2" s="120" t="s">
        <v>16</v>
      </c>
      <c r="C2" s="121"/>
      <c r="D2" s="121"/>
      <c r="E2" s="121"/>
      <c r="F2" s="121"/>
      <c r="G2" s="121"/>
      <c r="H2" s="121"/>
      <c r="I2" s="122"/>
      <c r="J2" s="122"/>
      <c r="K2" s="122"/>
      <c r="L2" s="122"/>
      <c r="M2" s="122"/>
      <c r="N2" s="122"/>
      <c r="O2" s="123"/>
      <c r="P2" s="123"/>
      <c r="Q2" s="123"/>
      <c r="R2" s="123"/>
      <c r="S2" s="123"/>
      <c r="T2" s="123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  <c r="BP2" s="94"/>
      <c r="BQ2" s="94"/>
      <c r="BR2" s="94"/>
      <c r="BS2" s="94"/>
      <c r="BT2" s="95"/>
    </row>
    <row r="3" spans="1:72" ht="19.899999999999999" customHeight="1" thickBot="1" x14ac:dyDescent="0.6">
      <c r="A3" s="10"/>
      <c r="B3" s="96"/>
      <c r="C3" s="97"/>
      <c r="D3" s="98"/>
      <c r="E3" s="98"/>
      <c r="F3" s="99"/>
      <c r="G3" s="98"/>
      <c r="H3" s="98"/>
      <c r="I3" s="100"/>
      <c r="J3" s="1"/>
      <c r="K3" s="1"/>
      <c r="L3" s="1"/>
      <c r="BT3" s="101"/>
    </row>
    <row r="4" spans="1:72" ht="30" customHeight="1" x14ac:dyDescent="0.55000000000000004">
      <c r="A4" s="10"/>
      <c r="B4" s="74" t="s">
        <v>17</v>
      </c>
      <c r="C4" s="75"/>
      <c r="D4" s="76"/>
      <c r="E4" s="77"/>
      <c r="F4" s="78"/>
      <c r="G4" s="79" t="s">
        <v>12</v>
      </c>
      <c r="H4" s="18"/>
      <c r="I4" s="124" t="s">
        <v>14</v>
      </c>
      <c r="J4" s="124"/>
      <c r="K4" s="124"/>
      <c r="L4" s="124"/>
      <c r="M4" s="124"/>
      <c r="N4" s="124"/>
      <c r="P4" s="125" t="s">
        <v>5</v>
      </c>
      <c r="Q4" s="125"/>
      <c r="R4" s="125"/>
      <c r="S4" s="125"/>
      <c r="T4" s="125"/>
      <c r="V4" s="126" t="s">
        <v>6</v>
      </c>
      <c r="W4" s="126"/>
      <c r="X4" s="126"/>
      <c r="Y4" s="126"/>
      <c r="Z4" s="126"/>
      <c r="AA4" s="126"/>
      <c r="AC4" s="127" t="s">
        <v>7</v>
      </c>
      <c r="AD4" s="127"/>
      <c r="AE4" s="127"/>
      <c r="AF4" s="127"/>
      <c r="AG4" s="127"/>
      <c r="AH4" s="127"/>
      <c r="AJ4" s="128" t="s">
        <v>15</v>
      </c>
      <c r="AK4" s="128"/>
      <c r="AL4" s="128"/>
      <c r="AM4" s="128"/>
      <c r="AN4" s="128"/>
      <c r="BT4" s="101"/>
    </row>
    <row r="5" spans="1:72" ht="30" customHeight="1" thickBot="1" x14ac:dyDescent="0.6">
      <c r="A5" s="10"/>
      <c r="B5" s="80" t="s">
        <v>22</v>
      </c>
      <c r="C5" s="81"/>
      <c r="D5" s="81"/>
      <c r="E5" s="82"/>
      <c r="F5" s="83"/>
      <c r="G5" s="84"/>
      <c r="H5" s="18"/>
      <c r="BT5" s="101"/>
    </row>
    <row r="6" spans="1:72" ht="30" customHeight="1" thickBot="1" x14ac:dyDescent="0.8">
      <c r="A6" s="10"/>
      <c r="B6" s="85" t="s">
        <v>0</v>
      </c>
      <c r="C6" s="86" cm="1">
        <f t="array" aca="1" ref="C6" ca="1">IFERROR(IF(MIN(Вехи4352[Начало])=0,TODAY(),B11(Вехи4352[Начало])),TODAY())</f>
        <v>46294</v>
      </c>
      <c r="D6" s="87"/>
      <c r="E6" s="88"/>
      <c r="F6" s="89"/>
      <c r="G6" s="90"/>
      <c r="H6" s="18"/>
      <c r="I6" s="25" t="str">
        <f ca="1">TEXT(I7,"ММММ")</f>
        <v>Сентябрь</v>
      </c>
      <c r="J6" s="25"/>
      <c r="K6" s="25"/>
      <c r="L6" s="25"/>
      <c r="M6" s="25"/>
      <c r="N6" s="25"/>
      <c r="O6" s="25"/>
      <c r="P6" s="25" t="str">
        <f ca="1">IF(TEXT(P7,"ММММ")=I6,"",TEXT(P7,"ММММ"))</f>
        <v>Октябрь</v>
      </c>
      <c r="Q6" s="25"/>
      <c r="R6" s="25"/>
      <c r="S6" s="25"/>
      <c r="T6" s="25"/>
      <c r="U6" s="25"/>
      <c r="V6" s="25"/>
      <c r="W6" s="25" t="str">
        <f ca="1">IF(OR(TEXT(W7,"ММММ")=P6,TEXT(W7,"ММММ")=I6),"",TEXT(W7,"ММММ"))</f>
        <v/>
      </c>
      <c r="X6" s="25"/>
      <c r="Y6" s="25"/>
      <c r="Z6" s="25"/>
      <c r="AA6" s="25"/>
      <c r="AB6" s="25"/>
      <c r="AC6" s="25"/>
      <c r="AD6" s="25" t="str">
        <f ca="1">IF(OR(TEXT(AD7,"ММММ")=W6,TEXT(AD7,"ММММ")=P6,TEXT(AD7,"ММММ")=I6),"",TEXT(AD7,"ММММ"))</f>
        <v/>
      </c>
      <c r="AE6" s="25"/>
      <c r="AF6" s="25"/>
      <c r="AG6" s="25"/>
      <c r="AH6" s="25"/>
      <c r="AI6" s="25"/>
      <c r="AJ6" s="25"/>
      <c r="AK6" s="25" t="str">
        <f ca="1">IF(OR(TEXT(AK7,"ММММ")=AD6,TEXT(AK7,"ММММ")=W6,TEXT(AK7,"ММММ")=P6,TEXT(AK7,"ММММ")=I6),"",TEXT(AK7,"ММММ"))</f>
        <v/>
      </c>
      <c r="AL6" s="25"/>
      <c r="AM6" s="25"/>
      <c r="AN6" s="25"/>
      <c r="AO6" s="25"/>
      <c r="AP6" s="25"/>
      <c r="AQ6" s="25"/>
      <c r="AR6" s="25" t="str">
        <f ca="1">IF(OR(TEXT(AR7,"ММММ")=AK6,TEXT(AR7,"ММММ")=AD6,TEXT(AR7,"ММММ")=W6,TEXT(AR7,"ММММ")=P6),"",TEXT(AR7,"ММММ"))</f>
        <v>Ноябрь</v>
      </c>
      <c r="AS6" s="25"/>
      <c r="AT6" s="25"/>
      <c r="AU6" s="25"/>
      <c r="AV6" s="25"/>
      <c r="AW6" s="25"/>
      <c r="AX6" s="26"/>
      <c r="AY6" s="26" t="str">
        <f ca="1">IF(OR(TEXT(AY7,"ММММ")=AR6,TEXT(AY7,"ММММ")=AK6,TEXT(AY7,"ММММ")=AD6,TEXT(AY7,"ММММ")=W6),"",TEXT(AY7,"ММММ"))</f>
        <v/>
      </c>
      <c r="AZ6" s="26"/>
      <c r="BA6" s="26"/>
      <c r="BB6" s="27"/>
      <c r="BC6" s="24"/>
      <c r="BD6" s="24"/>
      <c r="BE6" s="24"/>
      <c r="BF6" s="24" t="str">
        <f ca="1">IF(OR(TEXT(BF7,"ММММ")=AY6,TEXT(BF7,"ММММ")=AR6,TEXT(BF7,"ММММ")=AK6,TEXT(BF7,"ММММ")=AD6),"",TEXT(BF7,"ММММ"))</f>
        <v/>
      </c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102"/>
    </row>
    <row r="7" spans="1:72" ht="30" customHeight="1" x14ac:dyDescent="0.55000000000000004">
      <c r="A7" s="10"/>
      <c r="B7" s="103" t="s">
        <v>1</v>
      </c>
      <c r="C7" s="104">
        <v>0</v>
      </c>
      <c r="D7" s="105"/>
      <c r="E7" s="18"/>
      <c r="F7" s="18"/>
      <c r="G7" s="18"/>
      <c r="H7" s="19"/>
      <c r="I7" s="39">
        <f ca="1">IFERROR(Начало_проекта+Шаг_прокрутки,TODAY())</f>
        <v>46294</v>
      </c>
      <c r="J7" s="40">
        <f ca="1">I7+1</f>
        <v>46295</v>
      </c>
      <c r="K7" s="40">
        <f t="shared" ref="K7:AX7" ca="1" si="0">J7+1</f>
        <v>46296</v>
      </c>
      <c r="L7" s="40">
        <f t="shared" ca="1" si="0"/>
        <v>46297</v>
      </c>
      <c r="M7" s="40">
        <f t="shared" ca="1" si="0"/>
        <v>46298</v>
      </c>
      <c r="N7" s="40">
        <f t="shared" ca="1" si="0"/>
        <v>46299</v>
      </c>
      <c r="O7" s="41">
        <f t="shared" ca="1" si="0"/>
        <v>46300</v>
      </c>
      <c r="P7" s="40">
        <f ca="1">O7+1</f>
        <v>46301</v>
      </c>
      <c r="Q7" s="40">
        <f ca="1">P7+1</f>
        <v>46302</v>
      </c>
      <c r="R7" s="40">
        <f t="shared" ca="1" si="0"/>
        <v>46303</v>
      </c>
      <c r="S7" s="40">
        <f t="shared" ca="1" si="0"/>
        <v>46304</v>
      </c>
      <c r="T7" s="40">
        <f t="shared" ca="1" si="0"/>
        <v>46305</v>
      </c>
      <c r="U7" s="40">
        <f t="shared" ca="1" si="0"/>
        <v>46306</v>
      </c>
      <c r="V7" s="41">
        <f t="shared" ca="1" si="0"/>
        <v>46307</v>
      </c>
      <c r="W7" s="40">
        <f ca="1">V7+1</f>
        <v>46308</v>
      </c>
      <c r="X7" s="40">
        <f ca="1">W7+1</f>
        <v>46309</v>
      </c>
      <c r="Y7" s="40">
        <f t="shared" ca="1" si="0"/>
        <v>46310</v>
      </c>
      <c r="Z7" s="40">
        <f t="shared" ca="1" si="0"/>
        <v>46311</v>
      </c>
      <c r="AA7" s="40">
        <f t="shared" ca="1" si="0"/>
        <v>46312</v>
      </c>
      <c r="AB7" s="40">
        <f t="shared" ca="1" si="0"/>
        <v>46313</v>
      </c>
      <c r="AC7" s="41">
        <f t="shared" ca="1" si="0"/>
        <v>46314</v>
      </c>
      <c r="AD7" s="40">
        <f ca="1">AC7+1</f>
        <v>46315</v>
      </c>
      <c r="AE7" s="40">
        <f ca="1">AD7+1</f>
        <v>46316</v>
      </c>
      <c r="AF7" s="40">
        <f t="shared" ca="1" si="0"/>
        <v>46317</v>
      </c>
      <c r="AG7" s="40">
        <f t="shared" ca="1" si="0"/>
        <v>46318</v>
      </c>
      <c r="AH7" s="40">
        <f t="shared" ca="1" si="0"/>
        <v>46319</v>
      </c>
      <c r="AI7" s="40">
        <f t="shared" ca="1" si="0"/>
        <v>46320</v>
      </c>
      <c r="AJ7" s="41">
        <f t="shared" ca="1" si="0"/>
        <v>46321</v>
      </c>
      <c r="AK7" s="40">
        <f ca="1">AJ7+1</f>
        <v>46322</v>
      </c>
      <c r="AL7" s="40">
        <f ca="1">AK7+1</f>
        <v>46323</v>
      </c>
      <c r="AM7" s="40">
        <f t="shared" ca="1" si="0"/>
        <v>46324</v>
      </c>
      <c r="AN7" s="40">
        <f t="shared" ca="1" si="0"/>
        <v>46325</v>
      </c>
      <c r="AO7" s="40">
        <f t="shared" ca="1" si="0"/>
        <v>46326</v>
      </c>
      <c r="AP7" s="40">
        <f t="shared" ca="1" si="0"/>
        <v>46327</v>
      </c>
      <c r="AQ7" s="41">
        <f t="shared" ca="1" si="0"/>
        <v>46328</v>
      </c>
      <c r="AR7" s="40">
        <f ca="1">AQ7+1</f>
        <v>46329</v>
      </c>
      <c r="AS7" s="40">
        <f ca="1">AR7+1</f>
        <v>46330</v>
      </c>
      <c r="AT7" s="40">
        <f t="shared" ca="1" si="0"/>
        <v>46331</v>
      </c>
      <c r="AU7" s="40">
        <f t="shared" ca="1" si="0"/>
        <v>46332</v>
      </c>
      <c r="AV7" s="40">
        <f t="shared" ca="1" si="0"/>
        <v>46333</v>
      </c>
      <c r="AW7" s="40">
        <f t="shared" ca="1" si="0"/>
        <v>46334</v>
      </c>
      <c r="AX7" s="41">
        <f t="shared" ca="1" si="0"/>
        <v>46335</v>
      </c>
      <c r="AY7" s="40">
        <f ca="1">AX7+1</f>
        <v>46336</v>
      </c>
      <c r="AZ7" s="40">
        <f ca="1">AY7+1</f>
        <v>46337</v>
      </c>
      <c r="BA7" s="40">
        <f t="shared" ref="BA7:BE7" ca="1" si="1">AZ7+1</f>
        <v>46338</v>
      </c>
      <c r="BB7" s="40">
        <f t="shared" ca="1" si="1"/>
        <v>46339</v>
      </c>
      <c r="BC7" s="40">
        <f t="shared" ca="1" si="1"/>
        <v>46340</v>
      </c>
      <c r="BD7" s="40">
        <f t="shared" ca="1" si="1"/>
        <v>46341</v>
      </c>
      <c r="BE7" s="41">
        <f t="shared" ca="1" si="1"/>
        <v>46342</v>
      </c>
      <c r="BF7" s="40">
        <f ca="1">BE7+1</f>
        <v>46343</v>
      </c>
      <c r="BG7" s="40">
        <f ca="1">BF7+1</f>
        <v>46344</v>
      </c>
      <c r="BH7" s="40">
        <f t="shared" ref="BH7:BL7" ca="1" si="2">BG7+1</f>
        <v>46345</v>
      </c>
      <c r="BI7" s="40">
        <f t="shared" ca="1" si="2"/>
        <v>46346</v>
      </c>
      <c r="BJ7" s="40">
        <f t="shared" ca="1" si="2"/>
        <v>46347</v>
      </c>
      <c r="BK7" s="40">
        <f t="shared" ca="1" si="2"/>
        <v>46348</v>
      </c>
      <c r="BL7" s="41">
        <f t="shared" ca="1" si="2"/>
        <v>46349</v>
      </c>
      <c r="BM7" s="41">
        <f t="shared" ref="BM7" ca="1" si="3">BL7+1</f>
        <v>46350</v>
      </c>
      <c r="BN7" s="41">
        <f t="shared" ref="BN7" ca="1" si="4">BM7+1</f>
        <v>46351</v>
      </c>
      <c r="BO7" s="41">
        <f t="shared" ref="BO7" ca="1" si="5">BN7+1</f>
        <v>46352</v>
      </c>
      <c r="BP7" s="41">
        <f t="shared" ref="BP7" ca="1" si="6">BO7+1</f>
        <v>46353</v>
      </c>
      <c r="BQ7" s="41">
        <f t="shared" ref="BQ7" ca="1" si="7">BP7+1</f>
        <v>46354</v>
      </c>
      <c r="BR7" s="41">
        <f t="shared" ref="BR7" ca="1" si="8">BQ7+1</f>
        <v>46355</v>
      </c>
      <c r="BS7" s="41">
        <f t="shared" ref="BS7" ca="1" si="9">BR7+1</f>
        <v>46356</v>
      </c>
      <c r="BT7" s="106">
        <f t="shared" ref="BT7" ca="1" si="10">BS7+1</f>
        <v>46357</v>
      </c>
    </row>
    <row r="8" spans="1:72" ht="19.899999999999999" customHeight="1" thickBot="1" x14ac:dyDescent="0.6">
      <c r="A8" s="10"/>
      <c r="B8" s="107"/>
      <c r="C8" s="105"/>
      <c r="D8" s="105"/>
      <c r="E8" s="18"/>
      <c r="F8" s="18"/>
      <c r="G8" s="18"/>
      <c r="H8" s="19"/>
      <c r="I8" s="35"/>
      <c r="J8" s="108"/>
      <c r="K8" s="108"/>
      <c r="L8" s="108"/>
      <c r="M8" s="108"/>
      <c r="N8" s="108"/>
      <c r="O8" s="108"/>
      <c r="P8" s="36"/>
      <c r="Q8" s="108"/>
      <c r="R8" s="108"/>
      <c r="S8" s="108"/>
      <c r="T8" s="108"/>
      <c r="U8" s="108"/>
      <c r="V8" s="37"/>
      <c r="W8" s="108"/>
      <c r="X8" s="108"/>
      <c r="Y8" s="108"/>
      <c r="Z8" s="108"/>
      <c r="AA8" s="108"/>
      <c r="AB8" s="108"/>
      <c r="AC8" s="37"/>
      <c r="AD8" s="108"/>
      <c r="AE8" s="108"/>
      <c r="AF8" s="108"/>
      <c r="AG8" s="108"/>
      <c r="AH8" s="108"/>
      <c r="AI8" s="108"/>
      <c r="AJ8" s="37"/>
      <c r="AK8" s="108"/>
      <c r="AL8" s="108"/>
      <c r="AM8" s="108"/>
      <c r="AN8" s="108"/>
      <c r="AO8" s="108"/>
      <c r="AP8" s="108"/>
      <c r="AQ8" s="37"/>
      <c r="AR8" s="108"/>
      <c r="AS8" s="108"/>
      <c r="AT8" s="108"/>
      <c r="AU8" s="108"/>
      <c r="AV8" s="108"/>
      <c r="AW8" s="108"/>
      <c r="AX8" s="37"/>
      <c r="AY8" s="108"/>
      <c r="AZ8" s="108"/>
      <c r="BA8" s="108"/>
      <c r="BB8" s="108"/>
      <c r="BC8" s="108"/>
      <c r="BD8" s="108"/>
      <c r="BE8" s="37"/>
      <c r="BF8" s="108"/>
      <c r="BG8" s="108"/>
      <c r="BH8" s="108"/>
      <c r="BI8" s="108"/>
      <c r="BJ8" s="108"/>
      <c r="BK8" s="108"/>
      <c r="BL8" s="38"/>
      <c r="BM8" s="38"/>
      <c r="BN8" s="38"/>
      <c r="BO8" s="38"/>
      <c r="BP8" s="38"/>
      <c r="BQ8" s="38"/>
      <c r="BR8" s="38"/>
      <c r="BS8" s="38"/>
      <c r="BT8" s="109"/>
    </row>
    <row r="9" spans="1:72" ht="40.15" customHeight="1" thickBot="1" x14ac:dyDescent="0.6">
      <c r="A9" s="10"/>
      <c r="B9" s="71" t="s">
        <v>2</v>
      </c>
      <c r="C9" s="72" t="s">
        <v>4</v>
      </c>
      <c r="D9" s="72" t="s">
        <v>9</v>
      </c>
      <c r="E9" s="72" t="s">
        <v>10</v>
      </c>
      <c r="F9" s="72" t="s">
        <v>11</v>
      </c>
      <c r="G9" s="73" t="s">
        <v>13</v>
      </c>
      <c r="H9" s="23"/>
      <c r="I9" s="28" t="str">
        <f t="shared" ref="I9:AN9" ca="1" si="11">LEFT(TEXT(I7,"ДДД"),1)</f>
        <v>В</v>
      </c>
      <c r="J9" s="28" t="str">
        <f t="shared" ca="1" si="11"/>
        <v>С</v>
      </c>
      <c r="K9" s="28" t="str">
        <f t="shared" ca="1" si="11"/>
        <v>Ч</v>
      </c>
      <c r="L9" s="28" t="str">
        <f t="shared" ca="1" si="11"/>
        <v>П</v>
      </c>
      <c r="M9" s="28" t="str">
        <f t="shared" ca="1" si="11"/>
        <v>С</v>
      </c>
      <c r="N9" s="28" t="str">
        <f t="shared" ca="1" si="11"/>
        <v>В</v>
      </c>
      <c r="O9" s="28" t="str">
        <f t="shared" ca="1" si="11"/>
        <v>П</v>
      </c>
      <c r="P9" s="28" t="str">
        <f t="shared" ca="1" si="11"/>
        <v>В</v>
      </c>
      <c r="Q9" s="28" t="str">
        <f t="shared" ca="1" si="11"/>
        <v>С</v>
      </c>
      <c r="R9" s="28" t="str">
        <f t="shared" ca="1" si="11"/>
        <v>Ч</v>
      </c>
      <c r="S9" s="28" t="str">
        <f t="shared" ca="1" si="11"/>
        <v>П</v>
      </c>
      <c r="T9" s="28" t="str">
        <f t="shared" ca="1" si="11"/>
        <v>С</v>
      </c>
      <c r="U9" s="28" t="str">
        <f t="shared" ca="1" si="11"/>
        <v>В</v>
      </c>
      <c r="V9" s="28" t="str">
        <f t="shared" ca="1" si="11"/>
        <v>П</v>
      </c>
      <c r="W9" s="28" t="str">
        <f t="shared" ca="1" si="11"/>
        <v>В</v>
      </c>
      <c r="X9" s="28" t="str">
        <f t="shared" ca="1" si="11"/>
        <v>С</v>
      </c>
      <c r="Y9" s="28" t="str">
        <f t="shared" ca="1" si="11"/>
        <v>Ч</v>
      </c>
      <c r="Z9" s="28" t="str">
        <f t="shared" ca="1" si="11"/>
        <v>П</v>
      </c>
      <c r="AA9" s="28" t="str">
        <f t="shared" ca="1" si="11"/>
        <v>С</v>
      </c>
      <c r="AB9" s="28" t="str">
        <f t="shared" ca="1" si="11"/>
        <v>В</v>
      </c>
      <c r="AC9" s="28" t="str">
        <f t="shared" ca="1" si="11"/>
        <v>П</v>
      </c>
      <c r="AD9" s="28" t="str">
        <f t="shared" ca="1" si="11"/>
        <v>В</v>
      </c>
      <c r="AE9" s="28" t="str">
        <f t="shared" ca="1" si="11"/>
        <v>С</v>
      </c>
      <c r="AF9" s="28" t="str">
        <f t="shared" ca="1" si="11"/>
        <v>Ч</v>
      </c>
      <c r="AG9" s="28" t="str">
        <f t="shared" ca="1" si="11"/>
        <v>П</v>
      </c>
      <c r="AH9" s="28" t="str">
        <f t="shared" ca="1" si="11"/>
        <v>С</v>
      </c>
      <c r="AI9" s="28" t="str">
        <f t="shared" ca="1" si="11"/>
        <v>В</v>
      </c>
      <c r="AJ9" s="28" t="str">
        <f t="shared" ca="1" si="11"/>
        <v>П</v>
      </c>
      <c r="AK9" s="28" t="str">
        <f t="shared" ca="1" si="11"/>
        <v>В</v>
      </c>
      <c r="AL9" s="28" t="str">
        <f t="shared" ca="1" si="11"/>
        <v>С</v>
      </c>
      <c r="AM9" s="28" t="str">
        <f t="shared" ca="1" si="11"/>
        <v>Ч</v>
      </c>
      <c r="AN9" s="28" t="str">
        <f t="shared" ca="1" si="11"/>
        <v>П</v>
      </c>
      <c r="AO9" s="28" t="str">
        <f t="shared" ref="AO9:BL9" ca="1" si="12">LEFT(TEXT(AO7,"ДДД"),1)</f>
        <v>С</v>
      </c>
      <c r="AP9" s="28" t="str">
        <f t="shared" ca="1" si="12"/>
        <v>В</v>
      </c>
      <c r="AQ9" s="28" t="str">
        <f t="shared" ca="1" si="12"/>
        <v>П</v>
      </c>
      <c r="AR9" s="28" t="str">
        <f t="shared" ca="1" si="12"/>
        <v>В</v>
      </c>
      <c r="AS9" s="28" t="str">
        <f t="shared" ca="1" si="12"/>
        <v>С</v>
      </c>
      <c r="AT9" s="28" t="str">
        <f t="shared" ca="1" si="12"/>
        <v>Ч</v>
      </c>
      <c r="AU9" s="28" t="str">
        <f t="shared" ca="1" si="12"/>
        <v>П</v>
      </c>
      <c r="AV9" s="28" t="str">
        <f t="shared" ca="1" si="12"/>
        <v>С</v>
      </c>
      <c r="AW9" s="28" t="str">
        <f t="shared" ca="1" si="12"/>
        <v>В</v>
      </c>
      <c r="AX9" s="28" t="str">
        <f t="shared" ca="1" si="12"/>
        <v>П</v>
      </c>
      <c r="AY9" s="28" t="str">
        <f t="shared" ca="1" si="12"/>
        <v>В</v>
      </c>
      <c r="AZ9" s="28" t="str">
        <f t="shared" ca="1" si="12"/>
        <v>С</v>
      </c>
      <c r="BA9" s="28" t="str">
        <f t="shared" ca="1" si="12"/>
        <v>Ч</v>
      </c>
      <c r="BB9" s="28" t="str">
        <f t="shared" ca="1" si="12"/>
        <v>П</v>
      </c>
      <c r="BC9" s="28" t="str">
        <f t="shared" ca="1" si="12"/>
        <v>С</v>
      </c>
      <c r="BD9" s="28" t="str">
        <f t="shared" ca="1" si="12"/>
        <v>В</v>
      </c>
      <c r="BE9" s="28" t="str">
        <f t="shared" ca="1" si="12"/>
        <v>П</v>
      </c>
      <c r="BF9" s="28" t="str">
        <f t="shared" ca="1" si="12"/>
        <v>В</v>
      </c>
      <c r="BG9" s="28" t="str">
        <f t="shared" ca="1" si="12"/>
        <v>С</v>
      </c>
      <c r="BH9" s="28" t="str">
        <f t="shared" ca="1" si="12"/>
        <v>Ч</v>
      </c>
      <c r="BI9" s="28" t="str">
        <f t="shared" ca="1" si="12"/>
        <v>П</v>
      </c>
      <c r="BJ9" s="28" t="str">
        <f t="shared" ca="1" si="12"/>
        <v>С</v>
      </c>
      <c r="BK9" s="28" t="str">
        <f t="shared" ca="1" si="12"/>
        <v>В</v>
      </c>
      <c r="BL9" s="28" t="str">
        <f t="shared" ca="1" si="12"/>
        <v>П</v>
      </c>
      <c r="BM9" s="28" t="str">
        <f t="shared" ref="BM9:BT9" ca="1" si="13">LEFT(TEXT(BM7,"ДДД"),1)</f>
        <v>В</v>
      </c>
      <c r="BN9" s="28" t="str">
        <f t="shared" ca="1" si="13"/>
        <v>С</v>
      </c>
      <c r="BO9" s="28" t="str">
        <f t="shared" ca="1" si="13"/>
        <v>Ч</v>
      </c>
      <c r="BP9" s="28" t="str">
        <f t="shared" ca="1" si="13"/>
        <v>П</v>
      </c>
      <c r="BQ9" s="28" t="str">
        <f t="shared" ca="1" si="13"/>
        <v>С</v>
      </c>
      <c r="BR9" s="28" t="str">
        <f t="shared" ca="1" si="13"/>
        <v>В</v>
      </c>
      <c r="BS9" s="28" t="str">
        <f t="shared" ca="1" si="13"/>
        <v>П</v>
      </c>
      <c r="BT9" s="110" t="str">
        <f t="shared" ca="1" si="13"/>
        <v>В</v>
      </c>
    </row>
    <row r="10" spans="1:72" ht="30" hidden="1" customHeight="1" x14ac:dyDescent="0.55000000000000004">
      <c r="B10" s="111"/>
      <c r="C10" s="12"/>
      <c r="D10" s="112"/>
      <c r="E10" s="12"/>
      <c r="F10" s="13"/>
      <c r="G10" s="14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13"/>
    </row>
    <row r="11" spans="1:72" s="1" customFormat="1" ht="40.15" customHeight="1" thickBot="1" x14ac:dyDescent="0.6">
      <c r="A11" s="10"/>
      <c r="B11" s="47" t="s">
        <v>28</v>
      </c>
      <c r="C11" s="48"/>
      <c r="D11" s="48"/>
      <c r="E11" s="49">
        <f>(E12+E13+E14)*100%/3</f>
        <v>0.28333333333333333</v>
      </c>
      <c r="F11" s="50">
        <f ca="1">F12</f>
        <v>46294</v>
      </c>
      <c r="G11" s="51">
        <f>G12+G13+G14</f>
        <v>7</v>
      </c>
      <c r="H11" s="17"/>
      <c r="I11" s="15" t="str">
        <f t="shared" ref="I11:X22" ca="1" si="14">IF(AND($C11="Цель",I$7&gt;=$F11,I$7&lt;=$F11+$G11-1),2,IF(AND($C11="Веха",I$7&gt;=$F11,I$7&lt;=$F11+$G11-1),1,""))</f>
        <v/>
      </c>
      <c r="J11" s="15" t="str">
        <f t="shared" ca="1" si="14"/>
        <v/>
      </c>
      <c r="K11" s="15" t="str">
        <f t="shared" ca="1" si="14"/>
        <v/>
      </c>
      <c r="L11" s="15" t="str">
        <f t="shared" ca="1" si="14"/>
        <v/>
      </c>
      <c r="M11" s="15" t="str">
        <f t="shared" ca="1" si="14"/>
        <v/>
      </c>
      <c r="N11" s="15" t="str">
        <f t="shared" ca="1" si="14"/>
        <v/>
      </c>
      <c r="O11" s="15" t="str">
        <f t="shared" ca="1" si="14"/>
        <v/>
      </c>
      <c r="P11" s="15" t="str">
        <f t="shared" ca="1" si="14"/>
        <v/>
      </c>
      <c r="Q11" s="15" t="str">
        <f t="shared" ca="1" si="14"/>
        <v/>
      </c>
      <c r="R11" s="15" t="str">
        <f t="shared" ca="1" si="14"/>
        <v/>
      </c>
      <c r="S11" s="15" t="str">
        <f t="shared" ca="1" si="14"/>
        <v/>
      </c>
      <c r="T11" s="15" t="str">
        <f t="shared" ca="1" si="14"/>
        <v/>
      </c>
      <c r="U11" s="15" t="str">
        <f t="shared" ca="1" si="14"/>
        <v/>
      </c>
      <c r="V11" s="15" t="str">
        <f t="shared" ca="1" si="14"/>
        <v/>
      </c>
      <c r="W11" s="15" t="str">
        <f t="shared" ca="1" si="14"/>
        <v/>
      </c>
      <c r="X11" s="15" t="str">
        <f t="shared" ca="1" si="14"/>
        <v/>
      </c>
      <c r="Y11" s="15" t="str">
        <f t="shared" ref="Y11:AN22" ca="1" si="15">IF(AND($C11="Цель",Y$7&gt;=$F11,Y$7&lt;=$F11+$G11-1),2,IF(AND($C11="Веха",Y$7&gt;=$F11,Y$7&lt;=$F11+$G11-1),1,""))</f>
        <v/>
      </c>
      <c r="Z11" s="15" t="str">
        <f t="shared" ca="1" si="15"/>
        <v/>
      </c>
      <c r="AA11" s="15" t="str">
        <f t="shared" ca="1" si="15"/>
        <v/>
      </c>
      <c r="AB11" s="15" t="str">
        <f t="shared" ca="1" si="15"/>
        <v/>
      </c>
      <c r="AC11" s="15" t="str">
        <f t="shared" ca="1" si="15"/>
        <v/>
      </c>
      <c r="AD11" s="15" t="str">
        <f t="shared" ca="1" si="15"/>
        <v/>
      </c>
      <c r="AE11" s="15" t="str">
        <f t="shared" ca="1" si="15"/>
        <v/>
      </c>
      <c r="AF11" s="15" t="str">
        <f t="shared" ca="1" si="15"/>
        <v/>
      </c>
      <c r="AG11" s="15" t="str">
        <f t="shared" ca="1" si="15"/>
        <v/>
      </c>
      <c r="AH11" s="15" t="str">
        <f t="shared" ca="1" si="15"/>
        <v/>
      </c>
      <c r="AI11" s="15" t="str">
        <f t="shared" ca="1" si="15"/>
        <v/>
      </c>
      <c r="AJ11" s="15" t="str">
        <f t="shared" ca="1" si="15"/>
        <v/>
      </c>
      <c r="AK11" s="15" t="str">
        <f t="shared" ca="1" si="15"/>
        <v/>
      </c>
      <c r="AL11" s="15" t="str">
        <f t="shared" ca="1" si="15"/>
        <v/>
      </c>
      <c r="AM11" s="15" t="str">
        <f t="shared" ca="1" si="15"/>
        <v/>
      </c>
      <c r="AN11" s="15" t="str">
        <f t="shared" ca="1" si="15"/>
        <v/>
      </c>
      <c r="AO11" s="15" t="str">
        <f t="shared" ref="AO11:BD22" ca="1" si="16">IF(AND($C11="Цель",AO$7&gt;=$F11,AO$7&lt;=$F11+$G11-1),2,IF(AND($C11="Веха",AO$7&gt;=$F11,AO$7&lt;=$F11+$G11-1),1,""))</f>
        <v/>
      </c>
      <c r="AP11" s="15" t="str">
        <f t="shared" ca="1" si="16"/>
        <v/>
      </c>
      <c r="AQ11" s="15" t="str">
        <f t="shared" ca="1" si="16"/>
        <v/>
      </c>
      <c r="AR11" s="15" t="str">
        <f t="shared" ca="1" si="16"/>
        <v/>
      </c>
      <c r="AS11" s="15" t="str">
        <f t="shared" ca="1" si="16"/>
        <v/>
      </c>
      <c r="AT11" s="15" t="str">
        <f t="shared" ca="1" si="16"/>
        <v/>
      </c>
      <c r="AU11" s="15" t="str">
        <f t="shared" ca="1" si="16"/>
        <v/>
      </c>
      <c r="AV11" s="15" t="str">
        <f t="shared" ca="1" si="16"/>
        <v/>
      </c>
      <c r="AW11" s="15" t="str">
        <f t="shared" ca="1" si="16"/>
        <v/>
      </c>
      <c r="AX11" s="15" t="str">
        <f t="shared" ca="1" si="16"/>
        <v/>
      </c>
      <c r="AY11" s="15" t="str">
        <f t="shared" ca="1" si="16"/>
        <v/>
      </c>
      <c r="AZ11" s="15" t="str">
        <f t="shared" ca="1" si="16"/>
        <v/>
      </c>
      <c r="BA11" s="15" t="str">
        <f t="shared" ca="1" si="16"/>
        <v/>
      </c>
      <c r="BB11" s="15" t="str">
        <f t="shared" ca="1" si="16"/>
        <v/>
      </c>
      <c r="BC11" s="15" t="str">
        <f t="shared" ca="1" si="16"/>
        <v/>
      </c>
      <c r="BD11" s="15" t="str">
        <f t="shared" ca="1" si="16"/>
        <v/>
      </c>
      <c r="BE11" s="15" t="str">
        <f t="shared" ref="BE11:BT22" ca="1" si="17">IF(AND($C11="Цель",BE$7&gt;=$F11,BE$7&lt;=$F11+$G11-1),2,IF(AND($C11="Веха",BE$7&gt;=$F11,BE$7&lt;=$F11+$G11-1),1,""))</f>
        <v/>
      </c>
      <c r="BF11" s="15" t="str">
        <f t="shared" ca="1" si="17"/>
        <v/>
      </c>
      <c r="BG11" s="15" t="str">
        <f t="shared" ca="1" si="17"/>
        <v/>
      </c>
      <c r="BH11" s="15" t="str">
        <f t="shared" ca="1" si="17"/>
        <v/>
      </c>
      <c r="BI11" s="15" t="str">
        <f t="shared" ca="1" si="17"/>
        <v/>
      </c>
      <c r="BJ11" s="15" t="str">
        <f t="shared" ca="1" si="17"/>
        <v/>
      </c>
      <c r="BK11" s="15" t="str">
        <f t="shared" ca="1" si="17"/>
        <v/>
      </c>
      <c r="BL11" s="15" t="str">
        <f t="shared" ca="1" si="17"/>
        <v/>
      </c>
      <c r="BM11" s="15" t="str">
        <f t="shared" ca="1" si="17"/>
        <v/>
      </c>
      <c r="BN11" s="15" t="str">
        <f t="shared" ca="1" si="17"/>
        <v/>
      </c>
      <c r="BO11" s="15" t="str">
        <f t="shared" ca="1" si="17"/>
        <v/>
      </c>
      <c r="BP11" s="15" t="str">
        <f t="shared" ca="1" si="17"/>
        <v/>
      </c>
      <c r="BQ11" s="15" t="str">
        <f t="shared" ca="1" si="17"/>
        <v/>
      </c>
      <c r="BR11" s="15" t="str">
        <f t="shared" ca="1" si="17"/>
        <v/>
      </c>
      <c r="BS11" s="15" t="str">
        <f t="shared" ca="1" si="17"/>
        <v/>
      </c>
      <c r="BT11" s="114" t="str">
        <f t="shared" ca="1" si="17"/>
        <v/>
      </c>
    </row>
    <row r="12" spans="1:72" s="1" customFormat="1" ht="40.15" customHeight="1" x14ac:dyDescent="0.55000000000000004">
      <c r="A12" s="10"/>
      <c r="B12" s="53" t="s">
        <v>39</v>
      </c>
      <c r="C12" s="54" t="s">
        <v>8</v>
      </c>
      <c r="D12" s="54" t="s">
        <v>23</v>
      </c>
      <c r="E12" s="55">
        <v>0.25</v>
      </c>
      <c r="F12" s="56">
        <f ca="1">TODAY()</f>
        <v>46294</v>
      </c>
      <c r="G12" s="57">
        <v>2</v>
      </c>
      <c r="H12" s="17"/>
      <c r="I12" s="15" t="str">
        <f ca="1">IF(AND($C12="Цель",I$7&gt;=$F12,I$7&lt;=$F12+$G12-1),2,IF(AND($C12="Веха",I$7&gt;=$F12,I$7&lt;=$F12+$G12-1),1,""))</f>
        <v/>
      </c>
      <c r="J12" s="15" t="str">
        <f t="shared" ca="1" si="14"/>
        <v/>
      </c>
      <c r="K12" s="15" t="str">
        <f t="shared" ca="1" si="14"/>
        <v/>
      </c>
      <c r="L12" s="15" t="str">
        <f t="shared" ca="1" si="14"/>
        <v/>
      </c>
      <c r="M12" s="15" t="str">
        <f t="shared" ca="1" si="14"/>
        <v/>
      </c>
      <c r="N12" s="15" t="str">
        <f t="shared" ca="1" si="14"/>
        <v/>
      </c>
      <c r="O12" s="15" t="str">
        <f t="shared" ca="1" si="14"/>
        <v/>
      </c>
      <c r="P12" s="15" t="str">
        <f t="shared" ca="1" si="14"/>
        <v/>
      </c>
      <c r="Q12" s="15" t="str">
        <f t="shared" ca="1" si="14"/>
        <v/>
      </c>
      <c r="R12" s="15" t="str">
        <f t="shared" ca="1" si="14"/>
        <v/>
      </c>
      <c r="S12" s="15" t="str">
        <f t="shared" ca="1" si="14"/>
        <v/>
      </c>
      <c r="T12" s="15" t="str">
        <f t="shared" ca="1" si="14"/>
        <v/>
      </c>
      <c r="U12" s="15" t="str">
        <f t="shared" ca="1" si="14"/>
        <v/>
      </c>
      <c r="V12" s="15" t="str">
        <f t="shared" ca="1" si="14"/>
        <v/>
      </c>
      <c r="W12" s="15" t="str">
        <f t="shared" ca="1" si="14"/>
        <v/>
      </c>
      <c r="X12" s="15" t="str">
        <f t="shared" ca="1" si="14"/>
        <v/>
      </c>
      <c r="Y12" s="15" t="str">
        <f t="shared" ca="1" si="15"/>
        <v/>
      </c>
      <c r="Z12" s="15" t="str">
        <f t="shared" ca="1" si="15"/>
        <v/>
      </c>
      <c r="AA12" s="15" t="str">
        <f t="shared" ca="1" si="15"/>
        <v/>
      </c>
      <c r="AB12" s="15" t="str">
        <f t="shared" ca="1" si="15"/>
        <v/>
      </c>
      <c r="AC12" s="15" t="str">
        <f t="shared" ca="1" si="15"/>
        <v/>
      </c>
      <c r="AD12" s="15" t="str">
        <f t="shared" ca="1" si="15"/>
        <v/>
      </c>
      <c r="AE12" s="15" t="str">
        <f t="shared" ca="1" si="15"/>
        <v/>
      </c>
      <c r="AF12" s="15" t="str">
        <f t="shared" ca="1" si="15"/>
        <v/>
      </c>
      <c r="AG12" s="15" t="str">
        <f t="shared" ca="1" si="15"/>
        <v/>
      </c>
      <c r="AH12" s="15" t="str">
        <f t="shared" ca="1" si="15"/>
        <v/>
      </c>
      <c r="AI12" s="15" t="str">
        <f t="shared" ca="1" si="15"/>
        <v/>
      </c>
      <c r="AJ12" s="15" t="str">
        <f t="shared" ca="1" si="15"/>
        <v/>
      </c>
      <c r="AK12" s="15" t="str">
        <f t="shared" ca="1" si="15"/>
        <v/>
      </c>
      <c r="AL12" s="15" t="str">
        <f t="shared" ca="1" si="15"/>
        <v/>
      </c>
      <c r="AM12" s="15" t="str">
        <f t="shared" ca="1" si="15"/>
        <v/>
      </c>
      <c r="AN12" s="15" t="str">
        <f t="shared" ca="1" si="15"/>
        <v/>
      </c>
      <c r="AO12" s="15" t="str">
        <f t="shared" ca="1" si="16"/>
        <v/>
      </c>
      <c r="AP12" s="15" t="str">
        <f t="shared" ca="1" si="16"/>
        <v/>
      </c>
      <c r="AQ12" s="15" t="str">
        <f t="shared" ca="1" si="16"/>
        <v/>
      </c>
      <c r="AR12" s="15" t="str">
        <f t="shared" ca="1" si="16"/>
        <v/>
      </c>
      <c r="AS12" s="15" t="str">
        <f t="shared" ca="1" si="16"/>
        <v/>
      </c>
      <c r="AT12" s="15" t="str">
        <f t="shared" ca="1" si="16"/>
        <v/>
      </c>
      <c r="AU12" s="15" t="str">
        <f t="shared" ca="1" si="16"/>
        <v/>
      </c>
      <c r="AV12" s="15" t="str">
        <f t="shared" ca="1" si="16"/>
        <v/>
      </c>
      <c r="AW12" s="15" t="str">
        <f t="shared" ca="1" si="16"/>
        <v/>
      </c>
      <c r="AX12" s="15" t="str">
        <f t="shared" ca="1" si="16"/>
        <v/>
      </c>
      <c r="AY12" s="15" t="str">
        <f t="shared" ca="1" si="16"/>
        <v/>
      </c>
      <c r="AZ12" s="15" t="str">
        <f t="shared" ca="1" si="16"/>
        <v/>
      </c>
      <c r="BA12" s="15" t="str">
        <f t="shared" ca="1" si="16"/>
        <v/>
      </c>
      <c r="BB12" s="15" t="str">
        <f t="shared" ca="1" si="16"/>
        <v/>
      </c>
      <c r="BC12" s="15" t="str">
        <f t="shared" ca="1" si="16"/>
        <v/>
      </c>
      <c r="BD12" s="15" t="str">
        <f t="shared" ca="1" si="16"/>
        <v/>
      </c>
      <c r="BE12" s="15" t="str">
        <f t="shared" ca="1" si="17"/>
        <v/>
      </c>
      <c r="BF12" s="15" t="str">
        <f t="shared" ca="1" si="17"/>
        <v/>
      </c>
      <c r="BG12" s="15" t="str">
        <f t="shared" ca="1" si="17"/>
        <v/>
      </c>
      <c r="BH12" s="15" t="str">
        <f t="shared" ca="1" si="17"/>
        <v/>
      </c>
      <c r="BI12" s="15" t="str">
        <f t="shared" ca="1" si="17"/>
        <v/>
      </c>
      <c r="BJ12" s="15" t="str">
        <f t="shared" ca="1" si="17"/>
        <v/>
      </c>
      <c r="BK12" s="15" t="str">
        <f t="shared" ca="1" si="17"/>
        <v/>
      </c>
      <c r="BL12" s="15" t="str">
        <f t="shared" ca="1" si="17"/>
        <v/>
      </c>
      <c r="BM12" s="15" t="str">
        <f t="shared" ref="BM12:BT15" ca="1" si="18">IF(AND($C12="Цель",BM$7&gt;=$F12,BM$7&lt;=$F12+$G12-1),2,IF(AND($C12="Веха",BM$7&gt;=$F12,BM$7&lt;=$F12+$G12-1),1,""))</f>
        <v/>
      </c>
      <c r="BN12" s="15" t="str">
        <f t="shared" ca="1" si="18"/>
        <v/>
      </c>
      <c r="BO12" s="15" t="str">
        <f t="shared" ca="1" si="18"/>
        <v/>
      </c>
      <c r="BP12" s="15" t="str">
        <f t="shared" ca="1" si="18"/>
        <v/>
      </c>
      <c r="BQ12" s="15" t="str">
        <f t="shared" ca="1" si="18"/>
        <v/>
      </c>
      <c r="BR12" s="15" t="str">
        <f t="shared" ca="1" si="18"/>
        <v/>
      </c>
      <c r="BS12" s="15" t="str">
        <f t="shared" ca="1" si="18"/>
        <v/>
      </c>
      <c r="BT12" s="114" t="str">
        <f t="shared" ca="1" si="18"/>
        <v/>
      </c>
    </row>
    <row r="13" spans="1:72" s="1" customFormat="1" ht="40.15" customHeight="1" x14ac:dyDescent="0.55000000000000004">
      <c r="A13" s="10"/>
      <c r="B13" s="58" t="s">
        <v>40</v>
      </c>
      <c r="C13" s="59" t="s">
        <v>8</v>
      </c>
      <c r="D13" s="59" t="s">
        <v>23</v>
      </c>
      <c r="E13" s="42">
        <v>0.1</v>
      </c>
      <c r="F13" s="43">
        <f ca="1">F12+G12</f>
        <v>46296</v>
      </c>
      <c r="G13" s="60">
        <v>2</v>
      </c>
      <c r="H13" s="17"/>
      <c r="I13" s="15" t="str">
        <f t="shared" ref="I13:I22" ca="1" si="19">IF(AND($C13="Цель",I$7&gt;=$F13,I$7&lt;=$F13+$G13-1),2,IF(AND($C13="Веха",I$7&gt;=$F13,I$7&lt;=$F13+$G13-1),1,""))</f>
        <v/>
      </c>
      <c r="J13" s="15" t="str">
        <f t="shared" ca="1" si="14"/>
        <v/>
      </c>
      <c r="K13" s="15" t="str">
        <f t="shared" ca="1" si="14"/>
        <v/>
      </c>
      <c r="L13" s="15" t="str">
        <f t="shared" ca="1" si="14"/>
        <v/>
      </c>
      <c r="M13" s="15" t="str">
        <f t="shared" ca="1" si="14"/>
        <v/>
      </c>
      <c r="N13" s="15" t="str">
        <f t="shared" ca="1" si="14"/>
        <v/>
      </c>
      <c r="O13" s="15" t="str">
        <f t="shared" ca="1" si="14"/>
        <v/>
      </c>
      <c r="P13" s="15" t="str">
        <f t="shared" ca="1" si="14"/>
        <v/>
      </c>
      <c r="Q13" s="15" t="str">
        <f t="shared" ca="1" si="14"/>
        <v/>
      </c>
      <c r="R13" s="15" t="str">
        <f t="shared" ca="1" si="14"/>
        <v/>
      </c>
      <c r="S13" s="15" t="str">
        <f t="shared" ca="1" si="14"/>
        <v/>
      </c>
      <c r="T13" s="15" t="str">
        <f t="shared" ca="1" si="14"/>
        <v/>
      </c>
      <c r="U13" s="15" t="str">
        <f t="shared" ca="1" si="14"/>
        <v/>
      </c>
      <c r="V13" s="15" t="str">
        <f t="shared" ca="1" si="14"/>
        <v/>
      </c>
      <c r="W13" s="15" t="str">
        <f t="shared" ca="1" si="14"/>
        <v/>
      </c>
      <c r="X13" s="15" t="str">
        <f t="shared" ca="1" si="14"/>
        <v/>
      </c>
      <c r="Y13" s="15" t="str">
        <f t="shared" ca="1" si="15"/>
        <v/>
      </c>
      <c r="Z13" s="15" t="str">
        <f t="shared" ca="1" si="15"/>
        <v/>
      </c>
      <c r="AA13" s="15" t="str">
        <f t="shared" ca="1" si="15"/>
        <v/>
      </c>
      <c r="AB13" s="15" t="str">
        <f t="shared" ca="1" si="15"/>
        <v/>
      </c>
      <c r="AC13" s="15" t="str">
        <f t="shared" ca="1" si="15"/>
        <v/>
      </c>
      <c r="AD13" s="15" t="str">
        <f t="shared" ca="1" si="15"/>
        <v/>
      </c>
      <c r="AE13" s="15" t="str">
        <f t="shared" ca="1" si="15"/>
        <v/>
      </c>
      <c r="AF13" s="15" t="str">
        <f t="shared" ca="1" si="15"/>
        <v/>
      </c>
      <c r="AG13" s="15" t="str">
        <f t="shared" ca="1" si="15"/>
        <v/>
      </c>
      <c r="AH13" s="15" t="str">
        <f t="shared" ca="1" si="15"/>
        <v/>
      </c>
      <c r="AI13" s="15" t="str">
        <f t="shared" ca="1" si="15"/>
        <v/>
      </c>
      <c r="AJ13" s="15" t="str">
        <f t="shared" ca="1" si="15"/>
        <v/>
      </c>
      <c r="AK13" s="15" t="str">
        <f t="shared" ca="1" si="15"/>
        <v/>
      </c>
      <c r="AL13" s="15" t="str">
        <f t="shared" ca="1" si="15"/>
        <v/>
      </c>
      <c r="AM13" s="15" t="str">
        <f t="shared" ca="1" si="15"/>
        <v/>
      </c>
      <c r="AN13" s="15" t="str">
        <f t="shared" ca="1" si="15"/>
        <v/>
      </c>
      <c r="AO13" s="15" t="str">
        <f t="shared" ca="1" si="16"/>
        <v/>
      </c>
      <c r="AP13" s="15" t="str">
        <f t="shared" ca="1" si="16"/>
        <v/>
      </c>
      <c r="AQ13" s="15" t="str">
        <f t="shared" ca="1" si="16"/>
        <v/>
      </c>
      <c r="AR13" s="15" t="str">
        <f t="shared" ca="1" si="16"/>
        <v/>
      </c>
      <c r="AS13" s="15" t="str">
        <f t="shared" ca="1" si="16"/>
        <v/>
      </c>
      <c r="AT13" s="15" t="str">
        <f t="shared" ca="1" si="16"/>
        <v/>
      </c>
      <c r="AU13" s="15" t="str">
        <f t="shared" ca="1" si="16"/>
        <v/>
      </c>
      <c r="AV13" s="15" t="str">
        <f t="shared" ca="1" si="16"/>
        <v/>
      </c>
      <c r="AW13" s="15" t="str">
        <f t="shared" ca="1" si="16"/>
        <v/>
      </c>
      <c r="AX13" s="15" t="str">
        <f t="shared" ca="1" si="16"/>
        <v/>
      </c>
      <c r="AY13" s="15" t="str">
        <f t="shared" ca="1" si="16"/>
        <v/>
      </c>
      <c r="AZ13" s="15" t="str">
        <f t="shared" ca="1" si="16"/>
        <v/>
      </c>
      <c r="BA13" s="15" t="str">
        <f t="shared" ca="1" si="16"/>
        <v/>
      </c>
      <c r="BB13" s="15" t="str">
        <f t="shared" ca="1" si="16"/>
        <v/>
      </c>
      <c r="BC13" s="15" t="str">
        <f t="shared" ca="1" si="16"/>
        <v/>
      </c>
      <c r="BD13" s="15" t="str">
        <f t="shared" ca="1" si="16"/>
        <v/>
      </c>
      <c r="BE13" s="15" t="str">
        <f t="shared" ca="1" si="17"/>
        <v/>
      </c>
      <c r="BF13" s="15" t="str">
        <f t="shared" ca="1" si="17"/>
        <v/>
      </c>
      <c r="BG13" s="15" t="str">
        <f t="shared" ca="1" si="17"/>
        <v/>
      </c>
      <c r="BH13" s="15" t="str">
        <f t="shared" ca="1" si="17"/>
        <v/>
      </c>
      <c r="BI13" s="15" t="str">
        <f t="shared" ca="1" si="17"/>
        <v/>
      </c>
      <c r="BJ13" s="15" t="str">
        <f t="shared" ca="1" si="17"/>
        <v/>
      </c>
      <c r="BK13" s="15" t="str">
        <f t="shared" ca="1" si="17"/>
        <v/>
      </c>
      <c r="BL13" s="15" t="str">
        <f t="shared" ca="1" si="17"/>
        <v/>
      </c>
      <c r="BM13" s="15" t="str">
        <f t="shared" ca="1" si="18"/>
        <v/>
      </c>
      <c r="BN13" s="15" t="str">
        <f t="shared" ca="1" si="18"/>
        <v/>
      </c>
      <c r="BO13" s="15" t="str">
        <f t="shared" ca="1" si="18"/>
        <v/>
      </c>
      <c r="BP13" s="15" t="str">
        <f t="shared" ca="1" si="18"/>
        <v/>
      </c>
      <c r="BQ13" s="15" t="str">
        <f t="shared" ca="1" si="18"/>
        <v/>
      </c>
      <c r="BR13" s="15" t="str">
        <f t="shared" ca="1" si="18"/>
        <v/>
      </c>
      <c r="BS13" s="15" t="str">
        <f t="shared" ca="1" si="18"/>
        <v/>
      </c>
      <c r="BT13" s="114" t="str">
        <f t="shared" ca="1" si="18"/>
        <v/>
      </c>
    </row>
    <row r="14" spans="1:72" s="1" customFormat="1" ht="40.15" customHeight="1" thickBot="1" x14ac:dyDescent="0.6">
      <c r="A14" s="9"/>
      <c r="B14" s="61" t="s">
        <v>41</v>
      </c>
      <c r="C14" s="62" t="s">
        <v>5</v>
      </c>
      <c r="D14" s="62" t="s">
        <v>23</v>
      </c>
      <c r="E14" s="63">
        <v>0.5</v>
      </c>
      <c r="F14" s="64">
        <f ca="1">F13+G13</f>
        <v>46298</v>
      </c>
      <c r="G14" s="65">
        <v>3</v>
      </c>
      <c r="H14" s="17"/>
      <c r="I14" s="15" t="str">
        <f t="shared" ca="1" si="19"/>
        <v/>
      </c>
      <c r="J14" s="15" t="str">
        <f t="shared" ca="1" si="14"/>
        <v/>
      </c>
      <c r="K14" s="15" t="str">
        <f t="shared" ca="1" si="14"/>
        <v/>
      </c>
      <c r="L14" s="15" t="str">
        <f t="shared" ca="1" si="14"/>
        <v/>
      </c>
      <c r="M14" s="15" t="str">
        <f t="shared" ca="1" si="14"/>
        <v/>
      </c>
      <c r="N14" s="15" t="str">
        <f t="shared" ca="1" si="14"/>
        <v/>
      </c>
      <c r="O14" s="15" t="str">
        <f t="shared" ca="1" si="14"/>
        <v/>
      </c>
      <c r="P14" s="15" t="str">
        <f t="shared" ca="1" si="14"/>
        <v/>
      </c>
      <c r="Q14" s="15" t="str">
        <f t="shared" ca="1" si="14"/>
        <v/>
      </c>
      <c r="R14" s="15" t="str">
        <f t="shared" ca="1" si="14"/>
        <v/>
      </c>
      <c r="S14" s="15" t="str">
        <f t="shared" ca="1" si="14"/>
        <v/>
      </c>
      <c r="T14" s="15" t="str">
        <f t="shared" ca="1" si="14"/>
        <v/>
      </c>
      <c r="U14" s="15" t="str">
        <f t="shared" ca="1" si="14"/>
        <v/>
      </c>
      <c r="V14" s="15" t="str">
        <f t="shared" ca="1" si="14"/>
        <v/>
      </c>
      <c r="W14" s="15" t="str">
        <f t="shared" ca="1" si="14"/>
        <v/>
      </c>
      <c r="X14" s="15" t="str">
        <f t="shared" ca="1" si="14"/>
        <v/>
      </c>
      <c r="Y14" s="15" t="str">
        <f t="shared" ca="1" si="15"/>
        <v/>
      </c>
      <c r="Z14" s="15" t="str">
        <f t="shared" ca="1" si="15"/>
        <v/>
      </c>
      <c r="AA14" s="15" t="str">
        <f t="shared" ca="1" si="15"/>
        <v/>
      </c>
      <c r="AB14" s="15" t="str">
        <f t="shared" ca="1" si="15"/>
        <v/>
      </c>
      <c r="AC14" s="15" t="str">
        <f t="shared" ca="1" si="15"/>
        <v/>
      </c>
      <c r="AD14" s="15" t="str">
        <f t="shared" ca="1" si="15"/>
        <v/>
      </c>
      <c r="AE14" s="15" t="str">
        <f t="shared" ca="1" si="15"/>
        <v/>
      </c>
      <c r="AF14" s="15" t="str">
        <f t="shared" ca="1" si="15"/>
        <v/>
      </c>
      <c r="AG14" s="15" t="str">
        <f t="shared" ca="1" si="15"/>
        <v/>
      </c>
      <c r="AH14" s="15" t="str">
        <f t="shared" ca="1" si="15"/>
        <v/>
      </c>
      <c r="AI14" s="15" t="str">
        <f t="shared" ca="1" si="15"/>
        <v/>
      </c>
      <c r="AJ14" s="15" t="str">
        <f t="shared" ca="1" si="15"/>
        <v/>
      </c>
      <c r="AK14" s="15" t="str">
        <f t="shared" ca="1" si="15"/>
        <v/>
      </c>
      <c r="AL14" s="15" t="str">
        <f t="shared" ca="1" si="15"/>
        <v/>
      </c>
      <c r="AM14" s="15" t="str">
        <f t="shared" ca="1" si="15"/>
        <v/>
      </c>
      <c r="AN14" s="15" t="str">
        <f t="shared" ca="1" si="15"/>
        <v/>
      </c>
      <c r="AO14" s="15" t="str">
        <f t="shared" ca="1" si="16"/>
        <v/>
      </c>
      <c r="AP14" s="15" t="str">
        <f t="shared" ca="1" si="16"/>
        <v/>
      </c>
      <c r="AQ14" s="15" t="str">
        <f t="shared" ca="1" si="16"/>
        <v/>
      </c>
      <c r="AR14" s="15" t="str">
        <f t="shared" ca="1" si="16"/>
        <v/>
      </c>
      <c r="AS14" s="15" t="str">
        <f t="shared" ca="1" si="16"/>
        <v/>
      </c>
      <c r="AT14" s="15" t="str">
        <f t="shared" ca="1" si="16"/>
        <v/>
      </c>
      <c r="AU14" s="15" t="str">
        <f t="shared" ca="1" si="16"/>
        <v/>
      </c>
      <c r="AV14" s="15" t="str">
        <f t="shared" ca="1" si="16"/>
        <v/>
      </c>
      <c r="AW14" s="15" t="str">
        <f t="shared" ca="1" si="16"/>
        <v/>
      </c>
      <c r="AX14" s="15" t="str">
        <f t="shared" ca="1" si="16"/>
        <v/>
      </c>
      <c r="AY14" s="15" t="str">
        <f t="shared" ca="1" si="16"/>
        <v/>
      </c>
      <c r="AZ14" s="15" t="str">
        <f t="shared" ca="1" si="16"/>
        <v/>
      </c>
      <c r="BA14" s="15" t="str">
        <f t="shared" ca="1" si="16"/>
        <v/>
      </c>
      <c r="BB14" s="15" t="str">
        <f t="shared" ca="1" si="16"/>
        <v/>
      </c>
      <c r="BC14" s="15" t="str">
        <f t="shared" ca="1" si="16"/>
        <v/>
      </c>
      <c r="BD14" s="15" t="str">
        <f t="shared" ca="1" si="16"/>
        <v/>
      </c>
      <c r="BE14" s="15" t="str">
        <f t="shared" ca="1" si="17"/>
        <v/>
      </c>
      <c r="BF14" s="15" t="str">
        <f t="shared" ca="1" si="17"/>
        <v/>
      </c>
      <c r="BG14" s="15" t="str">
        <f t="shared" ca="1" si="17"/>
        <v/>
      </c>
      <c r="BH14" s="15" t="str">
        <f t="shared" ca="1" si="17"/>
        <v/>
      </c>
      <c r="BI14" s="15" t="str">
        <f t="shared" ca="1" si="17"/>
        <v/>
      </c>
      <c r="BJ14" s="15" t="str">
        <f t="shared" ca="1" si="17"/>
        <v/>
      </c>
      <c r="BK14" s="15" t="str">
        <f t="shared" ca="1" si="17"/>
        <v/>
      </c>
      <c r="BL14" s="15" t="str">
        <f t="shared" ca="1" si="17"/>
        <v/>
      </c>
      <c r="BM14" s="15" t="str">
        <f t="shared" ca="1" si="18"/>
        <v/>
      </c>
      <c r="BN14" s="15" t="str">
        <f t="shared" ca="1" si="18"/>
        <v/>
      </c>
      <c r="BO14" s="15" t="str">
        <f t="shared" ca="1" si="18"/>
        <v/>
      </c>
      <c r="BP14" s="15" t="str">
        <f t="shared" ca="1" si="18"/>
        <v/>
      </c>
      <c r="BQ14" s="15" t="str">
        <f t="shared" ca="1" si="18"/>
        <v/>
      </c>
      <c r="BR14" s="15" t="str">
        <f t="shared" ca="1" si="18"/>
        <v/>
      </c>
      <c r="BS14" s="15" t="str">
        <f t="shared" ca="1" si="18"/>
        <v/>
      </c>
      <c r="BT14" s="114" t="str">
        <f t="shared" ca="1" si="18"/>
        <v/>
      </c>
    </row>
    <row r="15" spans="1:72" s="1" customFormat="1" ht="40.15" customHeight="1" thickBot="1" x14ac:dyDescent="0.6">
      <c r="A15" s="10"/>
      <c r="B15" s="52" t="s">
        <v>29</v>
      </c>
      <c r="C15" s="48"/>
      <c r="D15" s="48"/>
      <c r="E15" s="49">
        <f>(E16+E17+E18)*100%/3</f>
        <v>0.47666666666666674</v>
      </c>
      <c r="F15" s="50">
        <f ca="1">F16</f>
        <v>46299</v>
      </c>
      <c r="G15" s="51">
        <f>G16+G17+G18</f>
        <v>9</v>
      </c>
      <c r="H15" s="17"/>
      <c r="I15" s="15" t="str">
        <f t="shared" ca="1" si="19"/>
        <v/>
      </c>
      <c r="J15" s="15" t="str">
        <f t="shared" ca="1" si="14"/>
        <v/>
      </c>
      <c r="K15" s="15" t="str">
        <f t="shared" ca="1" si="14"/>
        <v/>
      </c>
      <c r="L15" s="15" t="str">
        <f t="shared" ca="1" si="14"/>
        <v/>
      </c>
      <c r="M15" s="15" t="str">
        <f t="shared" ca="1" si="14"/>
        <v/>
      </c>
      <c r="N15" s="15" t="str">
        <f t="shared" ca="1" si="14"/>
        <v/>
      </c>
      <c r="O15" s="15" t="str">
        <f t="shared" ca="1" si="14"/>
        <v/>
      </c>
      <c r="P15" s="15" t="str">
        <f t="shared" ca="1" si="14"/>
        <v/>
      </c>
      <c r="Q15" s="15" t="str">
        <f t="shared" ca="1" si="14"/>
        <v/>
      </c>
      <c r="R15" s="15" t="str">
        <f t="shared" ca="1" si="14"/>
        <v/>
      </c>
      <c r="S15" s="15" t="str">
        <f t="shared" ca="1" si="14"/>
        <v/>
      </c>
      <c r="T15" s="15" t="str">
        <f t="shared" ca="1" si="14"/>
        <v/>
      </c>
      <c r="U15" s="15"/>
      <c r="V15" s="15" t="str">
        <f t="shared" ca="1" si="14"/>
        <v/>
      </c>
      <c r="W15" s="15" t="str">
        <f t="shared" ca="1" si="14"/>
        <v/>
      </c>
      <c r="X15" s="15" t="str">
        <f t="shared" ca="1" si="14"/>
        <v/>
      </c>
      <c r="Y15" s="15" t="str">
        <f t="shared" ca="1" si="15"/>
        <v/>
      </c>
      <c r="Z15" s="15" t="str">
        <f t="shared" ca="1" si="15"/>
        <v/>
      </c>
      <c r="AA15" s="15" t="str">
        <f t="shared" ca="1" si="15"/>
        <v/>
      </c>
      <c r="AB15" s="15" t="str">
        <f t="shared" ca="1" si="15"/>
        <v/>
      </c>
      <c r="AC15" s="15" t="str">
        <f t="shared" ca="1" si="15"/>
        <v/>
      </c>
      <c r="AD15" s="15" t="str">
        <f t="shared" ca="1" si="15"/>
        <v/>
      </c>
      <c r="AE15" s="15" t="str">
        <f t="shared" ca="1" si="15"/>
        <v/>
      </c>
      <c r="AF15" s="15" t="str">
        <f t="shared" ca="1" si="15"/>
        <v/>
      </c>
      <c r="AG15" s="15" t="str">
        <f t="shared" ca="1" si="15"/>
        <v/>
      </c>
      <c r="AH15" s="15" t="str">
        <f t="shared" ca="1" si="15"/>
        <v/>
      </c>
      <c r="AI15" s="15" t="str">
        <f t="shared" ca="1" si="15"/>
        <v/>
      </c>
      <c r="AJ15" s="15" t="str">
        <f t="shared" ca="1" si="15"/>
        <v/>
      </c>
      <c r="AK15" s="15" t="str">
        <f t="shared" ca="1" si="15"/>
        <v/>
      </c>
      <c r="AL15" s="15" t="str">
        <f t="shared" ca="1" si="15"/>
        <v/>
      </c>
      <c r="AM15" s="15" t="str">
        <f t="shared" ca="1" si="15"/>
        <v/>
      </c>
      <c r="AN15" s="15" t="str">
        <f t="shared" ca="1" si="15"/>
        <v/>
      </c>
      <c r="AO15" s="15" t="str">
        <f t="shared" ca="1" si="16"/>
        <v/>
      </c>
      <c r="AP15" s="15" t="str">
        <f t="shared" ca="1" si="16"/>
        <v/>
      </c>
      <c r="AQ15" s="15" t="str">
        <f t="shared" ca="1" si="16"/>
        <v/>
      </c>
      <c r="AR15" s="15" t="str">
        <f t="shared" ca="1" si="16"/>
        <v/>
      </c>
      <c r="AS15" s="15" t="str">
        <f t="shared" ca="1" si="16"/>
        <v/>
      </c>
      <c r="AT15" s="15" t="str">
        <f t="shared" ca="1" si="16"/>
        <v/>
      </c>
      <c r="AU15" s="15" t="str">
        <f t="shared" ca="1" si="16"/>
        <v/>
      </c>
      <c r="AV15" s="15" t="str">
        <f t="shared" ca="1" si="16"/>
        <v/>
      </c>
      <c r="AW15" s="15" t="str">
        <f t="shared" ca="1" si="16"/>
        <v/>
      </c>
      <c r="AX15" s="15" t="str">
        <f t="shared" ca="1" si="16"/>
        <v/>
      </c>
      <c r="AY15" s="15" t="str">
        <f t="shared" ca="1" si="16"/>
        <v/>
      </c>
      <c r="AZ15" s="15" t="str">
        <f t="shared" ca="1" si="16"/>
        <v/>
      </c>
      <c r="BA15" s="15" t="str">
        <f t="shared" ca="1" si="16"/>
        <v/>
      </c>
      <c r="BB15" s="15" t="str">
        <f t="shared" ca="1" si="16"/>
        <v/>
      </c>
      <c r="BC15" s="15" t="str">
        <f t="shared" ca="1" si="16"/>
        <v/>
      </c>
      <c r="BD15" s="15" t="str">
        <f t="shared" ca="1" si="16"/>
        <v/>
      </c>
      <c r="BE15" s="15" t="str">
        <f t="shared" ca="1" si="17"/>
        <v/>
      </c>
      <c r="BF15" s="15" t="str">
        <f t="shared" ca="1" si="17"/>
        <v/>
      </c>
      <c r="BG15" s="15" t="str">
        <f t="shared" ca="1" si="17"/>
        <v/>
      </c>
      <c r="BH15" s="15" t="str">
        <f t="shared" ca="1" si="17"/>
        <v/>
      </c>
      <c r="BI15" s="15" t="str">
        <f t="shared" ca="1" si="17"/>
        <v/>
      </c>
      <c r="BJ15" s="15" t="str">
        <f t="shared" ca="1" si="17"/>
        <v/>
      </c>
      <c r="BK15" s="15" t="str">
        <f t="shared" ca="1" si="17"/>
        <v/>
      </c>
      <c r="BL15" s="15" t="str">
        <f t="shared" ca="1" si="17"/>
        <v/>
      </c>
      <c r="BM15" s="15" t="str">
        <f t="shared" ca="1" si="18"/>
        <v/>
      </c>
      <c r="BN15" s="15" t="str">
        <f t="shared" ca="1" si="18"/>
        <v/>
      </c>
      <c r="BO15" s="15" t="str">
        <f t="shared" ca="1" si="18"/>
        <v/>
      </c>
      <c r="BP15" s="15" t="str">
        <f t="shared" ca="1" si="18"/>
        <v/>
      </c>
      <c r="BQ15" s="15" t="str">
        <f t="shared" ca="1" si="18"/>
        <v/>
      </c>
      <c r="BR15" s="15" t="str">
        <f t="shared" ca="1" si="18"/>
        <v/>
      </c>
      <c r="BS15" s="15" t="str">
        <f t="shared" ca="1" si="18"/>
        <v/>
      </c>
      <c r="BT15" s="114" t="str">
        <f t="shared" ca="1" si="18"/>
        <v/>
      </c>
    </row>
    <row r="16" spans="1:72" s="1" customFormat="1" ht="40.15" customHeight="1" x14ac:dyDescent="0.55000000000000004">
      <c r="A16" s="10"/>
      <c r="B16" s="91" t="s">
        <v>36</v>
      </c>
      <c r="C16" s="54" t="s">
        <v>5</v>
      </c>
      <c r="D16" s="54" t="s">
        <v>23</v>
      </c>
      <c r="E16" s="55">
        <v>0.6</v>
      </c>
      <c r="F16" s="56">
        <f ca="1">F14+G14-2</f>
        <v>46299</v>
      </c>
      <c r="G16" s="57">
        <v>4</v>
      </c>
      <c r="H16" s="17"/>
      <c r="I16" s="15" t="str">
        <f t="shared" ca="1" si="19"/>
        <v/>
      </c>
      <c r="J16" s="15" t="str">
        <f t="shared" ca="1" si="14"/>
        <v/>
      </c>
      <c r="K16" s="15" t="str">
        <f t="shared" ca="1" si="14"/>
        <v/>
      </c>
      <c r="L16" s="15" t="str">
        <f t="shared" ca="1" si="14"/>
        <v/>
      </c>
      <c r="M16" s="15" t="str">
        <f t="shared" ca="1" si="14"/>
        <v/>
      </c>
      <c r="N16" s="15" t="str">
        <f t="shared" ca="1" si="14"/>
        <v/>
      </c>
      <c r="O16" s="15" t="str">
        <f t="shared" ca="1" si="14"/>
        <v/>
      </c>
      <c r="P16" s="15" t="str">
        <f t="shared" ca="1" si="14"/>
        <v/>
      </c>
      <c r="Q16" s="15" t="str">
        <f t="shared" ca="1" si="14"/>
        <v/>
      </c>
      <c r="R16" s="15" t="str">
        <f t="shared" ca="1" si="14"/>
        <v/>
      </c>
      <c r="S16" s="15" t="str">
        <f t="shared" ca="1" si="14"/>
        <v/>
      </c>
      <c r="T16" s="15" t="str">
        <f t="shared" ca="1" si="14"/>
        <v/>
      </c>
      <c r="U16" s="15" t="str">
        <f t="shared" ca="1" si="14"/>
        <v/>
      </c>
      <c r="V16" s="15" t="str">
        <f t="shared" ca="1" si="14"/>
        <v/>
      </c>
      <c r="W16" s="15" t="str">
        <f t="shared" ca="1" si="14"/>
        <v/>
      </c>
      <c r="X16" s="15" t="str">
        <f t="shared" ca="1" si="14"/>
        <v/>
      </c>
      <c r="Y16" s="15" t="str">
        <f t="shared" ca="1" si="15"/>
        <v/>
      </c>
      <c r="Z16" s="15" t="str">
        <f t="shared" ca="1" si="15"/>
        <v/>
      </c>
      <c r="AA16" s="15" t="str">
        <f t="shared" ca="1" si="15"/>
        <v/>
      </c>
      <c r="AB16" s="15" t="str">
        <f t="shared" ca="1" si="15"/>
        <v/>
      </c>
      <c r="AC16" s="15" t="str">
        <f t="shared" ca="1" si="15"/>
        <v/>
      </c>
      <c r="AD16" s="15" t="str">
        <f t="shared" ca="1" si="15"/>
        <v/>
      </c>
      <c r="AE16" s="15" t="str">
        <f t="shared" ca="1" si="15"/>
        <v/>
      </c>
      <c r="AF16" s="15" t="str">
        <f t="shared" ca="1" si="15"/>
        <v/>
      </c>
      <c r="AG16" s="15" t="str">
        <f t="shared" ca="1" si="15"/>
        <v/>
      </c>
      <c r="AH16" s="15" t="str">
        <f t="shared" ca="1" si="15"/>
        <v/>
      </c>
      <c r="AI16" s="15" t="str">
        <f t="shared" ca="1" si="15"/>
        <v/>
      </c>
      <c r="AJ16" s="15" t="str">
        <f t="shared" ca="1" si="15"/>
        <v/>
      </c>
      <c r="AK16" s="15" t="str">
        <f t="shared" ca="1" si="15"/>
        <v/>
      </c>
      <c r="AL16" s="15" t="str">
        <f t="shared" ca="1" si="15"/>
        <v/>
      </c>
      <c r="AM16" s="15" t="str">
        <f t="shared" ca="1" si="15"/>
        <v/>
      </c>
      <c r="AN16" s="15" t="str">
        <f t="shared" ca="1" si="15"/>
        <v/>
      </c>
      <c r="AO16" s="15" t="str">
        <f t="shared" ca="1" si="16"/>
        <v/>
      </c>
      <c r="AP16" s="15" t="str">
        <f t="shared" ca="1" si="16"/>
        <v/>
      </c>
      <c r="AQ16" s="15" t="str">
        <f t="shared" ca="1" si="16"/>
        <v/>
      </c>
      <c r="AR16" s="15" t="str">
        <f t="shared" ca="1" si="16"/>
        <v/>
      </c>
      <c r="AS16" s="15" t="str">
        <f t="shared" ca="1" si="16"/>
        <v/>
      </c>
      <c r="AT16" s="15" t="str">
        <f t="shared" ca="1" si="16"/>
        <v/>
      </c>
      <c r="AU16" s="15" t="str">
        <f t="shared" ca="1" si="16"/>
        <v/>
      </c>
      <c r="AV16" s="15" t="str">
        <f t="shared" ca="1" si="16"/>
        <v/>
      </c>
      <c r="AW16" s="15" t="str">
        <f t="shared" ca="1" si="16"/>
        <v/>
      </c>
      <c r="AX16" s="15" t="str">
        <f t="shared" ca="1" si="16"/>
        <v/>
      </c>
      <c r="AY16" s="15" t="str">
        <f t="shared" ca="1" si="16"/>
        <v/>
      </c>
      <c r="AZ16" s="15" t="str">
        <f t="shared" ca="1" si="16"/>
        <v/>
      </c>
      <c r="BA16" s="15" t="str">
        <f t="shared" ca="1" si="16"/>
        <v/>
      </c>
      <c r="BB16" s="15" t="str">
        <f t="shared" ca="1" si="16"/>
        <v/>
      </c>
      <c r="BC16" s="15" t="str">
        <f t="shared" ca="1" si="16"/>
        <v/>
      </c>
      <c r="BD16" s="15" t="str">
        <f t="shared" ca="1" si="16"/>
        <v/>
      </c>
      <c r="BE16" s="15" t="str">
        <f t="shared" ca="1" si="17"/>
        <v/>
      </c>
      <c r="BF16" s="15" t="str">
        <f t="shared" ca="1" si="17"/>
        <v/>
      </c>
      <c r="BG16" s="15" t="str">
        <f t="shared" ca="1" si="17"/>
        <v/>
      </c>
      <c r="BH16" s="15" t="str">
        <f t="shared" ca="1" si="17"/>
        <v/>
      </c>
      <c r="BI16" s="15" t="str">
        <f t="shared" ca="1" si="17"/>
        <v/>
      </c>
      <c r="BJ16" s="15" t="str">
        <f t="shared" ca="1" si="17"/>
        <v/>
      </c>
      <c r="BK16" s="15" t="str">
        <f t="shared" ca="1" si="17"/>
        <v/>
      </c>
      <c r="BL16" s="15" t="str">
        <f t="shared" ca="1" si="17"/>
        <v/>
      </c>
      <c r="BM16" s="15" t="str">
        <f t="shared" ref="BM16:BT20" ca="1" si="20">IF(AND($C16="Цель",BM$7&gt;=$F16,BM$7&lt;=$F16+$G16-1),2,IF(AND($C16="Веха",BM$7&gt;=$F16,BM$7&lt;=$F16+$G16-1),1,""))</f>
        <v/>
      </c>
      <c r="BN16" s="15" t="str">
        <f t="shared" ca="1" si="20"/>
        <v/>
      </c>
      <c r="BO16" s="15" t="str">
        <f t="shared" ca="1" si="20"/>
        <v/>
      </c>
      <c r="BP16" s="15" t="str">
        <f t="shared" ca="1" si="20"/>
        <v/>
      </c>
      <c r="BQ16" s="15" t="str">
        <f t="shared" ca="1" si="20"/>
        <v/>
      </c>
      <c r="BR16" s="15" t="str">
        <f t="shared" ca="1" si="20"/>
        <v/>
      </c>
      <c r="BS16" s="15" t="str">
        <f t="shared" ca="1" si="20"/>
        <v/>
      </c>
      <c r="BT16" s="114" t="str">
        <f t="shared" ca="1" si="20"/>
        <v/>
      </c>
    </row>
    <row r="17" spans="1:72" s="1" customFormat="1" ht="40.15" customHeight="1" x14ac:dyDescent="0.55000000000000004">
      <c r="A17" s="9"/>
      <c r="B17" s="92" t="s">
        <v>37</v>
      </c>
      <c r="C17" s="59" t="s">
        <v>8</v>
      </c>
      <c r="D17" s="59" t="s">
        <v>23</v>
      </c>
      <c r="E17" s="42">
        <v>0.5</v>
      </c>
      <c r="F17" s="43">
        <f ca="1">F16+G16</f>
        <v>46303</v>
      </c>
      <c r="G17" s="60">
        <v>2</v>
      </c>
      <c r="H17" s="17"/>
      <c r="I17" s="15" t="str">
        <f t="shared" ca="1" si="19"/>
        <v/>
      </c>
      <c r="J17" s="15" t="str">
        <f t="shared" ca="1" si="14"/>
        <v/>
      </c>
      <c r="K17" s="15" t="str">
        <f t="shared" ca="1" si="14"/>
        <v/>
      </c>
      <c r="L17" s="15" t="str">
        <f t="shared" ca="1" si="14"/>
        <v/>
      </c>
      <c r="M17" s="15" t="str">
        <f t="shared" ca="1" si="14"/>
        <v/>
      </c>
      <c r="N17" s="15" t="str">
        <f t="shared" ca="1" si="14"/>
        <v/>
      </c>
      <c r="O17" s="15" t="str">
        <f t="shared" ca="1" si="14"/>
        <v/>
      </c>
      <c r="P17" s="15" t="str">
        <f t="shared" ca="1" si="14"/>
        <v/>
      </c>
      <c r="Q17" s="15" t="str">
        <f t="shared" ca="1" si="14"/>
        <v/>
      </c>
      <c r="R17" s="15" t="str">
        <f t="shared" ca="1" si="14"/>
        <v/>
      </c>
      <c r="S17" s="15" t="str">
        <f t="shared" ca="1" si="14"/>
        <v/>
      </c>
      <c r="T17" s="15" t="str">
        <f t="shared" ca="1" si="14"/>
        <v/>
      </c>
      <c r="U17" s="15" t="str">
        <f t="shared" ca="1" si="14"/>
        <v/>
      </c>
      <c r="V17" s="15" t="str">
        <f t="shared" ca="1" si="14"/>
        <v/>
      </c>
      <c r="W17" s="15" t="str">
        <f t="shared" ca="1" si="14"/>
        <v/>
      </c>
      <c r="X17" s="15" t="str">
        <f t="shared" ca="1" si="14"/>
        <v/>
      </c>
      <c r="Y17" s="15" t="str">
        <f t="shared" ca="1" si="15"/>
        <v/>
      </c>
      <c r="Z17" s="15" t="str">
        <f t="shared" ca="1" si="15"/>
        <v/>
      </c>
      <c r="AA17" s="15" t="str">
        <f t="shared" ca="1" si="15"/>
        <v/>
      </c>
      <c r="AB17" s="15" t="str">
        <f t="shared" ca="1" si="15"/>
        <v/>
      </c>
      <c r="AC17" s="15" t="str">
        <f t="shared" ca="1" si="15"/>
        <v/>
      </c>
      <c r="AD17" s="15" t="str">
        <f t="shared" ca="1" si="15"/>
        <v/>
      </c>
      <c r="AE17" s="15" t="str">
        <f t="shared" ca="1" si="15"/>
        <v/>
      </c>
      <c r="AF17" s="15" t="str">
        <f t="shared" ca="1" si="15"/>
        <v/>
      </c>
      <c r="AG17" s="15" t="str">
        <f t="shared" ca="1" si="15"/>
        <v/>
      </c>
      <c r="AH17" s="15" t="str">
        <f t="shared" ca="1" si="15"/>
        <v/>
      </c>
      <c r="AI17" s="15" t="str">
        <f t="shared" ca="1" si="15"/>
        <v/>
      </c>
      <c r="AJ17" s="15" t="str">
        <f t="shared" ca="1" si="15"/>
        <v/>
      </c>
      <c r="AK17" s="15" t="str">
        <f t="shared" ca="1" si="15"/>
        <v/>
      </c>
      <c r="AL17" s="15" t="str">
        <f t="shared" ca="1" si="15"/>
        <v/>
      </c>
      <c r="AM17" s="15" t="str">
        <f t="shared" ca="1" si="15"/>
        <v/>
      </c>
      <c r="AN17" s="15" t="str">
        <f t="shared" ca="1" si="15"/>
        <v/>
      </c>
      <c r="AO17" s="15" t="str">
        <f t="shared" ca="1" si="16"/>
        <v/>
      </c>
      <c r="AP17" s="15" t="str">
        <f t="shared" ca="1" si="16"/>
        <v/>
      </c>
      <c r="AQ17" s="15" t="str">
        <f t="shared" ca="1" si="16"/>
        <v/>
      </c>
      <c r="AR17" s="15" t="str">
        <f t="shared" ca="1" si="16"/>
        <v/>
      </c>
      <c r="AS17" s="15" t="str">
        <f t="shared" ca="1" si="16"/>
        <v/>
      </c>
      <c r="AT17" s="15" t="str">
        <f t="shared" ca="1" si="16"/>
        <v/>
      </c>
      <c r="AU17" s="15" t="str">
        <f t="shared" ca="1" si="16"/>
        <v/>
      </c>
      <c r="AV17" s="15" t="str">
        <f t="shared" ca="1" si="16"/>
        <v/>
      </c>
      <c r="AW17" s="15" t="str">
        <f t="shared" ca="1" si="16"/>
        <v/>
      </c>
      <c r="AX17" s="15" t="str">
        <f t="shared" ca="1" si="16"/>
        <v/>
      </c>
      <c r="AY17" s="15" t="str">
        <f t="shared" ca="1" si="16"/>
        <v/>
      </c>
      <c r="AZ17" s="15" t="str">
        <f t="shared" ca="1" si="16"/>
        <v/>
      </c>
      <c r="BA17" s="15" t="str">
        <f t="shared" ca="1" si="16"/>
        <v/>
      </c>
      <c r="BB17" s="15" t="str">
        <f t="shared" ca="1" si="16"/>
        <v/>
      </c>
      <c r="BC17" s="15" t="str">
        <f t="shared" ca="1" si="16"/>
        <v/>
      </c>
      <c r="BD17" s="15" t="str">
        <f t="shared" ca="1" si="16"/>
        <v/>
      </c>
      <c r="BE17" s="15" t="str">
        <f t="shared" ca="1" si="17"/>
        <v/>
      </c>
      <c r="BF17" s="15" t="str">
        <f t="shared" ca="1" si="17"/>
        <v/>
      </c>
      <c r="BG17" s="15" t="str">
        <f t="shared" ca="1" si="17"/>
        <v/>
      </c>
      <c r="BH17" s="15" t="str">
        <f t="shared" ca="1" si="17"/>
        <v/>
      </c>
      <c r="BI17" s="15" t="str">
        <f t="shared" ca="1" si="17"/>
        <v/>
      </c>
      <c r="BJ17" s="15" t="str">
        <f t="shared" ca="1" si="17"/>
        <v/>
      </c>
      <c r="BK17" s="15" t="str">
        <f t="shared" ca="1" si="17"/>
        <v/>
      </c>
      <c r="BL17" s="15" t="str">
        <f t="shared" ca="1" si="17"/>
        <v/>
      </c>
      <c r="BM17" s="15" t="str">
        <f t="shared" ca="1" si="20"/>
        <v/>
      </c>
      <c r="BN17" s="15" t="str">
        <f t="shared" ca="1" si="20"/>
        <v/>
      </c>
      <c r="BO17" s="15" t="str">
        <f t="shared" ca="1" si="20"/>
        <v/>
      </c>
      <c r="BP17" s="15" t="str">
        <f t="shared" ca="1" si="20"/>
        <v/>
      </c>
      <c r="BQ17" s="15" t="str">
        <f t="shared" ca="1" si="20"/>
        <v/>
      </c>
      <c r="BR17" s="15" t="str">
        <f t="shared" ca="1" si="20"/>
        <v/>
      </c>
      <c r="BS17" s="15" t="str">
        <f t="shared" ca="1" si="20"/>
        <v/>
      </c>
      <c r="BT17" s="114" t="str">
        <f t="shared" ca="1" si="20"/>
        <v/>
      </c>
    </row>
    <row r="18" spans="1:72" s="1" customFormat="1" ht="40.15" customHeight="1" thickBot="1" x14ac:dyDescent="0.6">
      <c r="A18" s="9"/>
      <c r="B18" s="93" t="s">
        <v>38</v>
      </c>
      <c r="C18" s="62" t="s">
        <v>6</v>
      </c>
      <c r="D18" s="62" t="s">
        <v>23</v>
      </c>
      <c r="E18" s="63">
        <v>0.33</v>
      </c>
      <c r="F18" s="64">
        <f ca="1">F17+G17</f>
        <v>46305</v>
      </c>
      <c r="G18" s="65">
        <v>3</v>
      </c>
      <c r="H18" s="17"/>
      <c r="I18" s="15" t="str">
        <f t="shared" ca="1" si="19"/>
        <v/>
      </c>
      <c r="J18" s="15" t="str">
        <f t="shared" ca="1" si="14"/>
        <v/>
      </c>
      <c r="K18" s="15" t="str">
        <f t="shared" ca="1" si="14"/>
        <v/>
      </c>
      <c r="L18" s="15" t="str">
        <f t="shared" ca="1" si="14"/>
        <v/>
      </c>
      <c r="M18" s="15" t="str">
        <f t="shared" ca="1" si="14"/>
        <v/>
      </c>
      <c r="N18" s="15" t="str">
        <f t="shared" ca="1" si="14"/>
        <v/>
      </c>
      <c r="O18" s="15" t="str">
        <f t="shared" ca="1" si="14"/>
        <v/>
      </c>
      <c r="P18" s="15" t="str">
        <f t="shared" ca="1" si="14"/>
        <v/>
      </c>
      <c r="Q18" s="15" t="str">
        <f t="shared" ca="1" si="14"/>
        <v/>
      </c>
      <c r="R18" s="15" t="str">
        <f t="shared" ca="1" si="14"/>
        <v/>
      </c>
      <c r="S18" s="15" t="str">
        <f t="shared" ca="1" si="14"/>
        <v/>
      </c>
      <c r="T18" s="15" t="str">
        <f t="shared" ca="1" si="14"/>
        <v/>
      </c>
      <c r="U18" s="15" t="str">
        <f t="shared" ca="1" si="14"/>
        <v/>
      </c>
      <c r="V18" s="15" t="str">
        <f t="shared" ca="1" si="14"/>
        <v/>
      </c>
      <c r="W18" s="15" t="str">
        <f t="shared" ca="1" si="14"/>
        <v/>
      </c>
      <c r="X18" s="15" t="str">
        <f t="shared" ca="1" si="14"/>
        <v/>
      </c>
      <c r="Y18" s="15" t="str">
        <f t="shared" ca="1" si="15"/>
        <v/>
      </c>
      <c r="Z18" s="15" t="str">
        <f t="shared" ca="1" si="15"/>
        <v/>
      </c>
      <c r="AA18" s="15" t="str">
        <f t="shared" ca="1" si="15"/>
        <v/>
      </c>
      <c r="AB18" s="15" t="str">
        <f t="shared" ca="1" si="15"/>
        <v/>
      </c>
      <c r="AC18" s="15" t="str">
        <f t="shared" ca="1" si="15"/>
        <v/>
      </c>
      <c r="AD18" s="15" t="str">
        <f t="shared" ca="1" si="15"/>
        <v/>
      </c>
      <c r="AE18" s="15" t="str">
        <f t="shared" ca="1" si="15"/>
        <v/>
      </c>
      <c r="AF18" s="15" t="str">
        <f t="shared" ca="1" si="15"/>
        <v/>
      </c>
      <c r="AG18" s="15" t="str">
        <f t="shared" ca="1" si="15"/>
        <v/>
      </c>
      <c r="AH18" s="15" t="str">
        <f t="shared" ca="1" si="15"/>
        <v/>
      </c>
      <c r="AI18" s="15" t="str">
        <f t="shared" ca="1" si="15"/>
        <v/>
      </c>
      <c r="AJ18" s="15" t="str">
        <f t="shared" ca="1" si="15"/>
        <v/>
      </c>
      <c r="AK18" s="15" t="str">
        <f t="shared" ca="1" si="15"/>
        <v/>
      </c>
      <c r="AL18" s="15" t="str">
        <f t="shared" ca="1" si="15"/>
        <v/>
      </c>
      <c r="AM18" s="15" t="str">
        <f t="shared" ca="1" si="15"/>
        <v/>
      </c>
      <c r="AN18" s="15" t="str">
        <f t="shared" ca="1" si="15"/>
        <v/>
      </c>
      <c r="AO18" s="15" t="str">
        <f t="shared" ca="1" si="16"/>
        <v/>
      </c>
      <c r="AP18" s="15" t="str">
        <f t="shared" ca="1" si="16"/>
        <v/>
      </c>
      <c r="AQ18" s="15" t="str">
        <f t="shared" ca="1" si="16"/>
        <v/>
      </c>
      <c r="AR18" s="15" t="str">
        <f t="shared" ca="1" si="16"/>
        <v/>
      </c>
      <c r="AS18" s="15" t="str">
        <f t="shared" ca="1" si="16"/>
        <v/>
      </c>
      <c r="AT18" s="15" t="str">
        <f t="shared" ca="1" si="16"/>
        <v/>
      </c>
      <c r="AU18" s="15" t="str">
        <f t="shared" ca="1" si="16"/>
        <v/>
      </c>
      <c r="AV18" s="15" t="str">
        <f t="shared" ca="1" si="16"/>
        <v/>
      </c>
      <c r="AW18" s="15" t="str">
        <f t="shared" ca="1" si="16"/>
        <v/>
      </c>
      <c r="AX18" s="15" t="str">
        <f t="shared" ca="1" si="16"/>
        <v/>
      </c>
      <c r="AY18" s="15" t="str">
        <f t="shared" ca="1" si="16"/>
        <v/>
      </c>
      <c r="AZ18" s="15" t="str">
        <f t="shared" ca="1" si="16"/>
        <v/>
      </c>
      <c r="BA18" s="15" t="str">
        <f t="shared" ca="1" si="16"/>
        <v/>
      </c>
      <c r="BB18" s="15" t="str">
        <f t="shared" ca="1" si="16"/>
        <v/>
      </c>
      <c r="BC18" s="15" t="str">
        <f t="shared" ca="1" si="16"/>
        <v/>
      </c>
      <c r="BD18" s="15" t="str">
        <f t="shared" ca="1" si="16"/>
        <v/>
      </c>
      <c r="BE18" s="15" t="str">
        <f t="shared" ca="1" si="17"/>
        <v/>
      </c>
      <c r="BF18" s="15" t="str">
        <f t="shared" ca="1" si="17"/>
        <v/>
      </c>
      <c r="BG18" s="15" t="str">
        <f t="shared" ca="1" si="17"/>
        <v/>
      </c>
      <c r="BH18" s="15" t="str">
        <f t="shared" ca="1" si="17"/>
        <v/>
      </c>
      <c r="BI18" s="15" t="str">
        <f t="shared" ca="1" si="17"/>
        <v/>
      </c>
      <c r="BJ18" s="15" t="str">
        <f t="shared" ca="1" si="17"/>
        <v/>
      </c>
      <c r="BK18" s="15" t="str">
        <f t="shared" ca="1" si="17"/>
        <v/>
      </c>
      <c r="BL18" s="15" t="str">
        <f t="shared" ca="1" si="17"/>
        <v/>
      </c>
      <c r="BM18" s="15" t="str">
        <f t="shared" ca="1" si="20"/>
        <v/>
      </c>
      <c r="BN18" s="15" t="str">
        <f t="shared" ca="1" si="20"/>
        <v/>
      </c>
      <c r="BO18" s="15" t="str">
        <f t="shared" ca="1" si="20"/>
        <v/>
      </c>
      <c r="BP18" s="15" t="str">
        <f t="shared" ca="1" si="20"/>
        <v/>
      </c>
      <c r="BQ18" s="15" t="str">
        <f t="shared" ca="1" si="20"/>
        <v/>
      </c>
      <c r="BR18" s="15" t="str">
        <f t="shared" ca="1" si="20"/>
        <v/>
      </c>
      <c r="BS18" s="15" t="str">
        <f t="shared" ca="1" si="20"/>
        <v/>
      </c>
      <c r="BT18" s="114" t="str">
        <f t="shared" ca="1" si="20"/>
        <v/>
      </c>
    </row>
    <row r="19" spans="1:72" s="1" customFormat="1" ht="40.15" customHeight="1" thickBot="1" x14ac:dyDescent="0.6">
      <c r="A19" s="9"/>
      <c r="B19" s="52" t="s">
        <v>30</v>
      </c>
      <c r="C19" s="48"/>
      <c r="D19" s="48"/>
      <c r="E19" s="49">
        <f>(E20+E21+E22)*100%/3</f>
        <v>0.15000000000000002</v>
      </c>
      <c r="F19" s="50">
        <f ca="1">F20</f>
        <v>46305</v>
      </c>
      <c r="G19" s="51">
        <f ca="1">F22+G22-F20</f>
        <v>27</v>
      </c>
      <c r="H19" s="17"/>
      <c r="I19" s="15" t="str">
        <f t="shared" ca="1" si="19"/>
        <v/>
      </c>
      <c r="J19" s="15" t="str">
        <f t="shared" ca="1" si="14"/>
        <v/>
      </c>
      <c r="K19" s="15" t="str">
        <f t="shared" ca="1" si="14"/>
        <v/>
      </c>
      <c r="L19" s="15" t="str">
        <f t="shared" ca="1" si="14"/>
        <v/>
      </c>
      <c r="M19" s="15" t="str">
        <f t="shared" ca="1" si="14"/>
        <v/>
      </c>
      <c r="N19" s="15" t="str">
        <f t="shared" ca="1" si="14"/>
        <v/>
      </c>
      <c r="O19" s="15" t="str">
        <f t="shared" ca="1" si="14"/>
        <v/>
      </c>
      <c r="P19" s="15" t="str">
        <f t="shared" ca="1" si="14"/>
        <v/>
      </c>
      <c r="Q19" s="15" t="str">
        <f t="shared" ca="1" si="14"/>
        <v/>
      </c>
      <c r="R19" s="15" t="str">
        <f t="shared" ca="1" si="14"/>
        <v/>
      </c>
      <c r="S19" s="15" t="str">
        <f t="shared" ca="1" si="14"/>
        <v/>
      </c>
      <c r="T19" s="15" t="str">
        <f t="shared" ca="1" si="14"/>
        <v/>
      </c>
      <c r="U19" s="15" t="str">
        <f t="shared" ca="1" si="14"/>
        <v/>
      </c>
      <c r="V19" s="15" t="str">
        <f t="shared" ca="1" si="14"/>
        <v/>
      </c>
      <c r="W19" s="15" t="str">
        <f t="shared" ca="1" si="14"/>
        <v/>
      </c>
      <c r="X19" s="15" t="str">
        <f t="shared" ca="1" si="14"/>
        <v/>
      </c>
      <c r="Y19" s="15" t="str">
        <f t="shared" ca="1" si="15"/>
        <v/>
      </c>
      <c r="Z19" s="15" t="str">
        <f t="shared" ca="1" si="15"/>
        <v/>
      </c>
      <c r="AA19" s="15" t="str">
        <f t="shared" ca="1" si="15"/>
        <v/>
      </c>
      <c r="AB19" s="15" t="str">
        <f t="shared" ca="1" si="15"/>
        <v/>
      </c>
      <c r="AC19" s="15" t="str">
        <f t="shared" ca="1" si="15"/>
        <v/>
      </c>
      <c r="AD19" s="15" t="str">
        <f t="shared" ca="1" si="15"/>
        <v/>
      </c>
      <c r="AE19" s="15" t="str">
        <f t="shared" ca="1" si="15"/>
        <v/>
      </c>
      <c r="AF19" s="15" t="str">
        <f t="shared" ca="1" si="15"/>
        <v/>
      </c>
      <c r="AG19" s="15" t="str">
        <f t="shared" ca="1" si="15"/>
        <v/>
      </c>
      <c r="AH19" s="15" t="str">
        <f t="shared" ca="1" si="15"/>
        <v/>
      </c>
      <c r="AI19" s="15" t="str">
        <f t="shared" ca="1" si="15"/>
        <v/>
      </c>
      <c r="AJ19" s="15" t="str">
        <f t="shared" ca="1" si="15"/>
        <v/>
      </c>
      <c r="AK19" s="15" t="str">
        <f t="shared" ca="1" si="15"/>
        <v/>
      </c>
      <c r="AL19" s="15" t="str">
        <f t="shared" ca="1" si="15"/>
        <v/>
      </c>
      <c r="AM19" s="15" t="str">
        <f t="shared" ca="1" si="15"/>
        <v/>
      </c>
      <c r="AN19" s="15" t="str">
        <f t="shared" ca="1" si="15"/>
        <v/>
      </c>
      <c r="AO19" s="15" t="str">
        <f t="shared" ca="1" si="16"/>
        <v/>
      </c>
      <c r="AP19" s="15" t="str">
        <f t="shared" ca="1" si="16"/>
        <v/>
      </c>
      <c r="AQ19" s="15" t="str">
        <f t="shared" ca="1" si="16"/>
        <v/>
      </c>
      <c r="AR19" s="15" t="str">
        <f t="shared" ca="1" si="16"/>
        <v/>
      </c>
      <c r="AS19" s="15" t="str">
        <f t="shared" ca="1" si="16"/>
        <v/>
      </c>
      <c r="AT19" s="15" t="str">
        <f t="shared" ca="1" si="16"/>
        <v/>
      </c>
      <c r="AU19" s="15" t="str">
        <f t="shared" ca="1" si="16"/>
        <v/>
      </c>
      <c r="AV19" s="15" t="str">
        <f t="shared" ca="1" si="16"/>
        <v/>
      </c>
      <c r="AW19" s="15" t="str">
        <f t="shared" ca="1" si="16"/>
        <v/>
      </c>
      <c r="AX19" s="15" t="str">
        <f t="shared" ca="1" si="16"/>
        <v/>
      </c>
      <c r="AY19" s="15" t="str">
        <f t="shared" ca="1" si="16"/>
        <v/>
      </c>
      <c r="AZ19" s="15" t="str">
        <f t="shared" ca="1" si="16"/>
        <v/>
      </c>
      <c r="BA19" s="15" t="str">
        <f t="shared" ca="1" si="16"/>
        <v/>
      </c>
      <c r="BB19" s="15" t="str">
        <f t="shared" ca="1" si="16"/>
        <v/>
      </c>
      <c r="BC19" s="15" t="str">
        <f t="shared" ca="1" si="16"/>
        <v/>
      </c>
      <c r="BD19" s="15" t="str">
        <f t="shared" ca="1" si="16"/>
        <v/>
      </c>
      <c r="BE19" s="15" t="str">
        <f t="shared" ca="1" si="17"/>
        <v/>
      </c>
      <c r="BF19" s="15" t="str">
        <f t="shared" ca="1" si="17"/>
        <v/>
      </c>
      <c r="BG19" s="15" t="str">
        <f t="shared" ca="1" si="17"/>
        <v/>
      </c>
      <c r="BH19" s="15" t="str">
        <f t="shared" ca="1" si="17"/>
        <v/>
      </c>
      <c r="BI19" s="15" t="str">
        <f t="shared" ca="1" si="17"/>
        <v/>
      </c>
      <c r="BJ19" s="15" t="str">
        <f t="shared" ca="1" si="17"/>
        <v/>
      </c>
      <c r="BK19" s="15" t="str">
        <f t="shared" ca="1" si="17"/>
        <v/>
      </c>
      <c r="BL19" s="15" t="str">
        <f t="shared" ca="1" si="17"/>
        <v/>
      </c>
      <c r="BM19" s="15" t="str">
        <f t="shared" ca="1" si="20"/>
        <v/>
      </c>
      <c r="BN19" s="15" t="str">
        <f t="shared" ca="1" si="20"/>
        <v/>
      </c>
      <c r="BO19" s="15" t="str">
        <f t="shared" ca="1" si="20"/>
        <v/>
      </c>
      <c r="BP19" s="15" t="str">
        <f t="shared" ca="1" si="20"/>
        <v/>
      </c>
      <c r="BQ19" s="15" t="str">
        <f t="shared" ca="1" si="20"/>
        <v/>
      </c>
      <c r="BR19" s="15" t="str">
        <f t="shared" ca="1" si="20"/>
        <v/>
      </c>
      <c r="BS19" s="15" t="str">
        <f t="shared" ca="1" si="20"/>
        <v/>
      </c>
      <c r="BT19" s="114" t="str">
        <f t="shared" ca="1" si="20"/>
        <v/>
      </c>
    </row>
    <row r="20" spans="1:72" s="1" customFormat="1" ht="40.15" customHeight="1" x14ac:dyDescent="0.55000000000000004">
      <c r="A20" s="9"/>
      <c r="B20" s="66" t="s">
        <v>33</v>
      </c>
      <c r="C20" s="54" t="s">
        <v>6</v>
      </c>
      <c r="D20" s="54" t="s">
        <v>24</v>
      </c>
      <c r="E20" s="55">
        <v>0.2</v>
      </c>
      <c r="F20" s="56">
        <f ca="1">F18+G18-3</f>
        <v>46305</v>
      </c>
      <c r="G20" s="57">
        <v>11</v>
      </c>
      <c r="H20" s="17"/>
      <c r="I20" s="15" t="str">
        <f t="shared" ca="1" si="19"/>
        <v/>
      </c>
      <c r="J20" s="15" t="str">
        <f t="shared" ca="1" si="14"/>
        <v/>
      </c>
      <c r="K20" s="15" t="str">
        <f t="shared" ca="1" si="14"/>
        <v/>
      </c>
      <c r="L20" s="15" t="str">
        <f t="shared" ca="1" si="14"/>
        <v/>
      </c>
      <c r="M20" s="15" t="str">
        <f t="shared" ca="1" si="14"/>
        <v/>
      </c>
      <c r="N20" s="15" t="str">
        <f t="shared" ca="1" si="14"/>
        <v/>
      </c>
      <c r="O20" s="15" t="str">
        <f t="shared" ca="1" si="14"/>
        <v/>
      </c>
      <c r="P20" s="15" t="str">
        <f t="shared" ca="1" si="14"/>
        <v/>
      </c>
      <c r="Q20" s="15" t="str">
        <f t="shared" ca="1" si="14"/>
        <v/>
      </c>
      <c r="R20" s="15" t="str">
        <f t="shared" ca="1" si="14"/>
        <v/>
      </c>
      <c r="S20" s="15" t="str">
        <f t="shared" ca="1" si="14"/>
        <v/>
      </c>
      <c r="T20" s="15" t="str">
        <f t="shared" ca="1" si="14"/>
        <v/>
      </c>
      <c r="U20" s="15" t="str">
        <f t="shared" ca="1" si="14"/>
        <v/>
      </c>
      <c r="V20" s="15" t="str">
        <f t="shared" ca="1" si="14"/>
        <v/>
      </c>
      <c r="W20" s="15" t="str">
        <f t="shared" ca="1" si="14"/>
        <v/>
      </c>
      <c r="X20" s="15" t="str">
        <f t="shared" ca="1" si="14"/>
        <v/>
      </c>
      <c r="Y20" s="15" t="str">
        <f t="shared" ca="1" si="15"/>
        <v/>
      </c>
      <c r="Z20" s="15" t="str">
        <f t="shared" ca="1" si="15"/>
        <v/>
      </c>
      <c r="AA20" s="15" t="str">
        <f t="shared" ca="1" si="15"/>
        <v/>
      </c>
      <c r="AB20" s="15" t="str">
        <f t="shared" ca="1" si="15"/>
        <v/>
      </c>
      <c r="AC20" s="15" t="str">
        <f t="shared" ca="1" si="15"/>
        <v/>
      </c>
      <c r="AD20" s="15" t="str">
        <f t="shared" ca="1" si="15"/>
        <v/>
      </c>
      <c r="AE20" s="15" t="str">
        <f t="shared" ca="1" si="15"/>
        <v/>
      </c>
      <c r="AF20" s="15" t="str">
        <f t="shared" ca="1" si="15"/>
        <v/>
      </c>
      <c r="AG20" s="15" t="str">
        <f t="shared" ca="1" si="15"/>
        <v/>
      </c>
      <c r="AH20" s="15" t="str">
        <f t="shared" ca="1" si="15"/>
        <v/>
      </c>
      <c r="AI20" s="15" t="str">
        <f t="shared" ca="1" si="15"/>
        <v/>
      </c>
      <c r="AJ20" s="15" t="str">
        <f t="shared" ca="1" si="15"/>
        <v/>
      </c>
      <c r="AK20" s="15" t="str">
        <f t="shared" ca="1" si="15"/>
        <v/>
      </c>
      <c r="AL20" s="15" t="str">
        <f t="shared" ca="1" si="15"/>
        <v/>
      </c>
      <c r="AM20" s="15" t="str">
        <f t="shared" ca="1" si="15"/>
        <v/>
      </c>
      <c r="AN20" s="15" t="str">
        <f t="shared" ca="1" si="15"/>
        <v/>
      </c>
      <c r="AO20" s="15" t="str">
        <f t="shared" ca="1" si="16"/>
        <v/>
      </c>
      <c r="AP20" s="15" t="str">
        <f t="shared" ca="1" si="16"/>
        <v/>
      </c>
      <c r="AQ20" s="15" t="str">
        <f t="shared" ca="1" si="16"/>
        <v/>
      </c>
      <c r="AR20" s="15" t="str">
        <f t="shared" ca="1" si="16"/>
        <v/>
      </c>
      <c r="AS20" s="15" t="str">
        <f t="shared" ca="1" si="16"/>
        <v/>
      </c>
      <c r="AT20" s="15" t="str">
        <f t="shared" ca="1" si="16"/>
        <v/>
      </c>
      <c r="AU20" s="15" t="str">
        <f t="shared" ca="1" si="16"/>
        <v/>
      </c>
      <c r="AV20" s="15" t="str">
        <f t="shared" ca="1" si="16"/>
        <v/>
      </c>
      <c r="AW20" s="15" t="str">
        <f t="shared" ca="1" si="16"/>
        <v/>
      </c>
      <c r="AX20" s="15" t="str">
        <f t="shared" ca="1" si="16"/>
        <v/>
      </c>
      <c r="AY20" s="15" t="str">
        <f t="shared" ca="1" si="16"/>
        <v/>
      </c>
      <c r="AZ20" s="15" t="str">
        <f t="shared" ca="1" si="16"/>
        <v/>
      </c>
      <c r="BA20" s="15" t="str">
        <f t="shared" ca="1" si="16"/>
        <v/>
      </c>
      <c r="BB20" s="15" t="str">
        <f t="shared" ca="1" si="16"/>
        <v/>
      </c>
      <c r="BC20" s="15" t="str">
        <f t="shared" ca="1" si="16"/>
        <v/>
      </c>
      <c r="BD20" s="15" t="str">
        <f t="shared" ca="1" si="16"/>
        <v/>
      </c>
      <c r="BE20" s="15" t="str">
        <f t="shared" ca="1" si="17"/>
        <v/>
      </c>
      <c r="BF20" s="15" t="str">
        <f t="shared" ca="1" si="17"/>
        <v/>
      </c>
      <c r="BG20" s="15" t="str">
        <f t="shared" ca="1" si="17"/>
        <v/>
      </c>
      <c r="BH20" s="15" t="str">
        <f t="shared" ca="1" si="17"/>
        <v/>
      </c>
      <c r="BI20" s="15" t="str">
        <f t="shared" ca="1" si="17"/>
        <v/>
      </c>
      <c r="BJ20" s="15" t="str">
        <f t="shared" ca="1" si="17"/>
        <v/>
      </c>
      <c r="BK20" s="15" t="str">
        <f t="shared" ca="1" si="17"/>
        <v/>
      </c>
      <c r="BL20" s="15" t="str">
        <f t="shared" ca="1" si="17"/>
        <v/>
      </c>
      <c r="BM20" s="15" t="str">
        <f t="shared" ca="1" si="20"/>
        <v/>
      </c>
      <c r="BN20" s="15" t="str">
        <f t="shared" ca="1" si="20"/>
        <v/>
      </c>
      <c r="BO20" s="15" t="str">
        <f t="shared" ca="1" si="20"/>
        <v/>
      </c>
      <c r="BP20" s="15" t="str">
        <f t="shared" ca="1" si="20"/>
        <v/>
      </c>
      <c r="BQ20" s="15" t="str">
        <f t="shared" ca="1" si="20"/>
        <v/>
      </c>
      <c r="BR20" s="15" t="str">
        <f t="shared" ca="1" si="20"/>
        <v/>
      </c>
      <c r="BS20" s="15" t="str">
        <f t="shared" ca="1" si="20"/>
        <v/>
      </c>
      <c r="BT20" s="114" t="str">
        <f t="shared" ca="1" si="20"/>
        <v/>
      </c>
    </row>
    <row r="21" spans="1:72" s="1" customFormat="1" ht="40.15" customHeight="1" x14ac:dyDescent="0.55000000000000004">
      <c r="A21" s="9"/>
      <c r="B21" s="67" t="s">
        <v>34</v>
      </c>
      <c r="C21" s="59" t="s">
        <v>7</v>
      </c>
      <c r="D21" s="59" t="s">
        <v>25</v>
      </c>
      <c r="E21" s="42">
        <v>0.1</v>
      </c>
      <c r="F21" s="43">
        <f ca="1">F20+G20-2</f>
        <v>46314</v>
      </c>
      <c r="G21" s="60">
        <v>11</v>
      </c>
      <c r="H21" s="17"/>
      <c r="I21" s="15" t="str">
        <f t="shared" ca="1" si="19"/>
        <v/>
      </c>
      <c r="J21" s="15" t="str">
        <f t="shared" ca="1" si="14"/>
        <v/>
      </c>
      <c r="K21" s="15" t="str">
        <f t="shared" ca="1" si="14"/>
        <v/>
      </c>
      <c r="L21" s="15" t="str">
        <f t="shared" ca="1" si="14"/>
        <v/>
      </c>
      <c r="M21" s="15" t="str">
        <f t="shared" ca="1" si="14"/>
        <v/>
      </c>
      <c r="N21" s="15" t="str">
        <f t="shared" ca="1" si="14"/>
        <v/>
      </c>
      <c r="O21" s="15" t="str">
        <f t="shared" ca="1" si="14"/>
        <v/>
      </c>
      <c r="P21" s="15" t="str">
        <f t="shared" ca="1" si="14"/>
        <v/>
      </c>
      <c r="Q21" s="15" t="str">
        <f t="shared" ca="1" si="14"/>
        <v/>
      </c>
      <c r="R21" s="15" t="str">
        <f t="shared" ca="1" si="14"/>
        <v/>
      </c>
      <c r="S21" s="15" t="str">
        <f t="shared" ca="1" si="14"/>
        <v/>
      </c>
      <c r="T21" s="15" t="str">
        <f t="shared" ca="1" si="14"/>
        <v/>
      </c>
      <c r="U21" s="15" t="str">
        <f t="shared" ca="1" si="14"/>
        <v/>
      </c>
      <c r="V21" s="15" t="str">
        <f t="shared" ca="1" si="14"/>
        <v/>
      </c>
      <c r="W21" s="15" t="str">
        <f t="shared" ca="1" si="14"/>
        <v/>
      </c>
      <c r="X21" s="15" t="str">
        <f t="shared" ca="1" si="14"/>
        <v/>
      </c>
      <c r="Y21" s="15" t="str">
        <f t="shared" ca="1" si="15"/>
        <v/>
      </c>
      <c r="Z21" s="15" t="str">
        <f t="shared" ca="1" si="15"/>
        <v/>
      </c>
      <c r="AA21" s="15" t="str">
        <f t="shared" ca="1" si="15"/>
        <v/>
      </c>
      <c r="AB21" s="15" t="str">
        <f t="shared" ca="1" si="15"/>
        <v/>
      </c>
      <c r="AC21" s="15" t="str">
        <f t="shared" ca="1" si="15"/>
        <v/>
      </c>
      <c r="AD21" s="15" t="str">
        <f t="shared" ca="1" si="15"/>
        <v/>
      </c>
      <c r="AE21" s="15" t="str">
        <f t="shared" ca="1" si="15"/>
        <v/>
      </c>
      <c r="AF21" s="15" t="str">
        <f t="shared" ca="1" si="15"/>
        <v/>
      </c>
      <c r="AG21" s="15" t="str">
        <f t="shared" ca="1" si="15"/>
        <v/>
      </c>
      <c r="AH21" s="15" t="str">
        <f t="shared" ca="1" si="15"/>
        <v/>
      </c>
      <c r="AI21" s="15" t="str">
        <f t="shared" ca="1" si="15"/>
        <v/>
      </c>
      <c r="AJ21" s="15" t="str">
        <f t="shared" ca="1" si="15"/>
        <v/>
      </c>
      <c r="AK21" s="15" t="str">
        <f t="shared" ca="1" si="15"/>
        <v/>
      </c>
      <c r="AL21" s="15" t="str">
        <f t="shared" ca="1" si="15"/>
        <v/>
      </c>
      <c r="AM21" s="15" t="str">
        <f t="shared" ca="1" si="15"/>
        <v/>
      </c>
      <c r="AN21" s="15" t="str">
        <f t="shared" ca="1" si="15"/>
        <v/>
      </c>
      <c r="AO21" s="15" t="str">
        <f t="shared" ca="1" si="16"/>
        <v/>
      </c>
      <c r="AP21" s="15" t="str">
        <f t="shared" ca="1" si="16"/>
        <v/>
      </c>
      <c r="AQ21" s="15" t="str">
        <f t="shared" ca="1" si="16"/>
        <v/>
      </c>
      <c r="AR21" s="15" t="str">
        <f t="shared" ca="1" si="16"/>
        <v/>
      </c>
      <c r="AS21" s="15" t="str">
        <f t="shared" ca="1" si="16"/>
        <v/>
      </c>
      <c r="AT21" s="15" t="str">
        <f t="shared" ca="1" si="16"/>
        <v/>
      </c>
      <c r="AU21" s="15" t="str">
        <f t="shared" ca="1" si="16"/>
        <v/>
      </c>
      <c r="AV21" s="15" t="str">
        <f t="shared" ca="1" si="16"/>
        <v/>
      </c>
      <c r="AW21" s="15" t="str">
        <f t="shared" ca="1" si="16"/>
        <v/>
      </c>
      <c r="AX21" s="15" t="str">
        <f t="shared" ca="1" si="16"/>
        <v/>
      </c>
      <c r="AY21" s="15" t="str">
        <f t="shared" ca="1" si="16"/>
        <v/>
      </c>
      <c r="AZ21" s="15" t="str">
        <f t="shared" ca="1" si="16"/>
        <v/>
      </c>
      <c r="BA21" s="15" t="str">
        <f t="shared" ca="1" si="16"/>
        <v/>
      </c>
      <c r="BB21" s="15" t="str">
        <f t="shared" ca="1" si="16"/>
        <v/>
      </c>
      <c r="BC21" s="15" t="str">
        <f t="shared" ca="1" si="16"/>
        <v/>
      </c>
      <c r="BD21" s="15" t="str">
        <f t="shared" ca="1" si="16"/>
        <v/>
      </c>
      <c r="BE21" s="15" t="str">
        <f t="shared" ca="1" si="17"/>
        <v/>
      </c>
      <c r="BF21" s="15" t="str">
        <f t="shared" ca="1" si="17"/>
        <v/>
      </c>
      <c r="BG21" s="15" t="str">
        <f t="shared" ca="1" si="17"/>
        <v/>
      </c>
      <c r="BH21" s="15" t="str">
        <f t="shared" ca="1" si="17"/>
        <v/>
      </c>
      <c r="BI21" s="15" t="str">
        <f t="shared" ca="1" si="17"/>
        <v/>
      </c>
      <c r="BJ21" s="15" t="str">
        <f t="shared" ca="1" si="17"/>
        <v/>
      </c>
      <c r="BK21" s="15" t="str">
        <f t="shared" ca="1" si="17"/>
        <v/>
      </c>
      <c r="BL21" s="15" t="str">
        <f t="shared" ca="1" si="17"/>
        <v/>
      </c>
      <c r="BM21" s="15" t="str">
        <f t="shared" ref="BM21:BT25" ca="1" si="21">IF(AND($C21="Цель",BM$7&gt;=$F21,BM$7&lt;=$F21+$G21-1),2,IF(AND($C21="Веха",BM$7&gt;=$F21,BM$7&lt;=$F21+$G21-1),1,""))</f>
        <v/>
      </c>
      <c r="BN21" s="15" t="str">
        <f t="shared" ca="1" si="21"/>
        <v/>
      </c>
      <c r="BO21" s="15" t="str">
        <f t="shared" ca="1" si="21"/>
        <v/>
      </c>
      <c r="BP21" s="15" t="str">
        <f t="shared" ca="1" si="21"/>
        <v/>
      </c>
      <c r="BQ21" s="15" t="str">
        <f t="shared" ca="1" si="21"/>
        <v/>
      </c>
      <c r="BR21" s="15" t="str">
        <f t="shared" ca="1" si="21"/>
        <v/>
      </c>
      <c r="BS21" s="15" t="str">
        <f t="shared" ca="1" si="21"/>
        <v/>
      </c>
      <c r="BT21" s="114" t="str">
        <f t="shared" ca="1" si="21"/>
        <v/>
      </c>
    </row>
    <row r="22" spans="1:72" s="1" customFormat="1" ht="40.15" customHeight="1" thickBot="1" x14ac:dyDescent="0.6">
      <c r="A22" s="9"/>
      <c r="B22" s="68" t="s">
        <v>35</v>
      </c>
      <c r="C22" s="62" t="s">
        <v>7</v>
      </c>
      <c r="D22" s="62" t="s">
        <v>26</v>
      </c>
      <c r="E22" s="63">
        <v>0.15</v>
      </c>
      <c r="F22" s="64">
        <f ca="1">F21+G21-4</f>
        <v>46321</v>
      </c>
      <c r="G22" s="65">
        <v>11</v>
      </c>
      <c r="H22" s="17"/>
      <c r="I22" s="15" t="str">
        <f t="shared" ca="1" si="19"/>
        <v/>
      </c>
      <c r="J22" s="15" t="str">
        <f t="shared" ca="1" si="14"/>
        <v/>
      </c>
      <c r="K22" s="15" t="str">
        <f t="shared" ca="1" si="14"/>
        <v/>
      </c>
      <c r="L22" s="15" t="str">
        <f t="shared" ca="1" si="14"/>
        <v/>
      </c>
      <c r="M22" s="15" t="str">
        <f t="shared" ca="1" si="14"/>
        <v/>
      </c>
      <c r="N22" s="15" t="str">
        <f t="shared" ca="1" si="14"/>
        <v/>
      </c>
      <c r="O22" s="15" t="str">
        <f t="shared" ca="1" si="14"/>
        <v/>
      </c>
      <c r="P22" s="15" t="str">
        <f t="shared" ca="1" si="14"/>
        <v/>
      </c>
      <c r="Q22" s="15" t="str">
        <f t="shared" ca="1" si="14"/>
        <v/>
      </c>
      <c r="R22" s="15" t="str">
        <f t="shared" ca="1" si="14"/>
        <v/>
      </c>
      <c r="S22" s="15" t="str">
        <f t="shared" ca="1" si="14"/>
        <v/>
      </c>
      <c r="T22" s="15" t="str">
        <f t="shared" ca="1" si="14"/>
        <v/>
      </c>
      <c r="U22" s="15" t="str">
        <f t="shared" ca="1" si="14"/>
        <v/>
      </c>
      <c r="V22" s="15" t="str">
        <f t="shared" ca="1" si="14"/>
        <v/>
      </c>
      <c r="W22" s="15" t="str">
        <f t="shared" ca="1" si="14"/>
        <v/>
      </c>
      <c r="X22" s="15" t="str">
        <f t="shared" ca="1" si="14"/>
        <v/>
      </c>
      <c r="Y22" s="15" t="str">
        <f t="shared" ca="1" si="15"/>
        <v/>
      </c>
      <c r="Z22" s="15" t="str">
        <f t="shared" ca="1" si="15"/>
        <v/>
      </c>
      <c r="AA22" s="15" t="str">
        <f t="shared" ca="1" si="15"/>
        <v/>
      </c>
      <c r="AB22" s="15" t="str">
        <f t="shared" ca="1" si="15"/>
        <v/>
      </c>
      <c r="AC22" s="15" t="str">
        <f t="shared" ca="1" si="15"/>
        <v/>
      </c>
      <c r="AD22" s="15" t="str">
        <f t="shared" ca="1" si="15"/>
        <v/>
      </c>
      <c r="AE22" s="15" t="str">
        <f t="shared" ca="1" si="15"/>
        <v/>
      </c>
      <c r="AF22" s="15" t="str">
        <f t="shared" ca="1" si="15"/>
        <v/>
      </c>
      <c r="AG22" s="15" t="str">
        <f t="shared" ca="1" si="15"/>
        <v/>
      </c>
      <c r="AH22" s="15" t="str">
        <f t="shared" ca="1" si="15"/>
        <v/>
      </c>
      <c r="AI22" s="15" t="str">
        <f t="shared" ca="1" si="15"/>
        <v/>
      </c>
      <c r="AJ22" s="15" t="str">
        <f t="shared" ca="1" si="15"/>
        <v/>
      </c>
      <c r="AK22" s="15" t="str">
        <f t="shared" ca="1" si="15"/>
        <v/>
      </c>
      <c r="AL22" s="15" t="str">
        <f t="shared" ca="1" si="15"/>
        <v/>
      </c>
      <c r="AM22" s="15" t="str">
        <f t="shared" ca="1" si="15"/>
        <v/>
      </c>
      <c r="AN22" s="15" t="str">
        <f t="shared" ref="AN22:BC26" ca="1" si="22">IF(AND($C22="Цель",AN$7&gt;=$F22,AN$7&lt;=$F22+$G22-1),2,IF(AND($C22="Веха",AN$7&gt;=$F22,AN$7&lt;=$F22+$G22-1),1,""))</f>
        <v/>
      </c>
      <c r="AO22" s="15" t="str">
        <f t="shared" ca="1" si="16"/>
        <v/>
      </c>
      <c r="AP22" s="15" t="str">
        <f t="shared" ca="1" si="16"/>
        <v/>
      </c>
      <c r="AQ22" s="15" t="str">
        <f t="shared" ca="1" si="16"/>
        <v/>
      </c>
      <c r="AR22" s="15" t="str">
        <f t="shared" ca="1" si="16"/>
        <v/>
      </c>
      <c r="AS22" s="15" t="str">
        <f t="shared" ca="1" si="16"/>
        <v/>
      </c>
      <c r="AT22" s="15" t="str">
        <f t="shared" ca="1" si="16"/>
        <v/>
      </c>
      <c r="AU22" s="15" t="str">
        <f t="shared" ca="1" si="16"/>
        <v/>
      </c>
      <c r="AV22" s="15" t="str">
        <f t="shared" ca="1" si="16"/>
        <v/>
      </c>
      <c r="AW22" s="15" t="str">
        <f t="shared" ca="1" si="16"/>
        <v/>
      </c>
      <c r="AX22" s="15" t="str">
        <f t="shared" ca="1" si="16"/>
        <v/>
      </c>
      <c r="AY22" s="15" t="str">
        <f t="shared" ca="1" si="16"/>
        <v/>
      </c>
      <c r="AZ22" s="15" t="str">
        <f t="shared" ca="1" si="16"/>
        <v/>
      </c>
      <c r="BA22" s="15" t="str">
        <f t="shared" ca="1" si="16"/>
        <v/>
      </c>
      <c r="BB22" s="15" t="str">
        <f t="shared" ca="1" si="16"/>
        <v/>
      </c>
      <c r="BC22" s="15" t="str">
        <f t="shared" ca="1" si="16"/>
        <v/>
      </c>
      <c r="BD22" s="15" t="str">
        <f t="shared" ref="BD22:BS26" ca="1" si="23">IF(AND($C22="Цель",BD$7&gt;=$F22,BD$7&lt;=$F22+$G22-1),2,IF(AND($C22="Веха",BD$7&gt;=$F22,BD$7&lt;=$F22+$G22-1),1,""))</f>
        <v/>
      </c>
      <c r="BE22" s="15" t="str">
        <f t="shared" ca="1" si="17"/>
        <v/>
      </c>
      <c r="BF22" s="15" t="str">
        <f t="shared" ca="1" si="17"/>
        <v/>
      </c>
      <c r="BG22" s="15" t="str">
        <f t="shared" ca="1" si="17"/>
        <v/>
      </c>
      <c r="BH22" s="15" t="str">
        <f t="shared" ca="1" si="17"/>
        <v/>
      </c>
      <c r="BI22" s="15" t="str">
        <f t="shared" ca="1" si="17"/>
        <v/>
      </c>
      <c r="BJ22" s="15" t="str">
        <f t="shared" ca="1" si="17"/>
        <v/>
      </c>
      <c r="BK22" s="15" t="str">
        <f t="shared" ca="1" si="17"/>
        <v/>
      </c>
      <c r="BL22" s="15" t="str">
        <f t="shared" ca="1" si="17"/>
        <v/>
      </c>
      <c r="BM22" s="15" t="str">
        <f t="shared" ca="1" si="21"/>
        <v/>
      </c>
      <c r="BN22" s="15" t="str">
        <f t="shared" ca="1" si="21"/>
        <v/>
      </c>
      <c r="BO22" s="15" t="str">
        <f t="shared" ca="1" si="21"/>
        <v/>
      </c>
      <c r="BP22" s="15" t="str">
        <f t="shared" ca="1" si="21"/>
        <v/>
      </c>
      <c r="BQ22" s="15" t="str">
        <f t="shared" ca="1" si="21"/>
        <v/>
      </c>
      <c r="BR22" s="15" t="str">
        <f t="shared" ca="1" si="21"/>
        <v/>
      </c>
      <c r="BS22" s="15" t="str">
        <f t="shared" ca="1" si="21"/>
        <v/>
      </c>
      <c r="BT22" s="114" t="str">
        <f t="shared" ca="1" si="21"/>
        <v/>
      </c>
    </row>
    <row r="23" spans="1:72" s="1" customFormat="1" ht="40.15" customHeight="1" thickBot="1" x14ac:dyDescent="0.6">
      <c r="A23" s="9"/>
      <c r="B23" s="47" t="s">
        <v>31</v>
      </c>
      <c r="C23" s="48"/>
      <c r="D23" s="48"/>
      <c r="E23" s="49">
        <f>E24</f>
        <v>0.15</v>
      </c>
      <c r="F23" s="50">
        <f ca="1">F24</f>
        <v>46332</v>
      </c>
      <c r="G23" s="51">
        <f>G24</f>
        <v>3</v>
      </c>
      <c r="H23" s="17"/>
      <c r="I23" s="15" t="str">
        <f t="shared" ref="I23:X26" ca="1" si="24">IF(AND($C23="Цель",I$7&gt;=$F23,I$7&lt;=$F23+$G23-1),2,IF(AND($C23="Веха",I$7&gt;=$F23,I$7&lt;=$F23+$G23-1),1,""))</f>
        <v/>
      </c>
      <c r="J23" s="15" t="str">
        <f t="shared" ca="1" si="24"/>
        <v/>
      </c>
      <c r="K23" s="15" t="str">
        <f t="shared" ca="1" si="24"/>
        <v/>
      </c>
      <c r="L23" s="15" t="str">
        <f t="shared" ca="1" si="24"/>
        <v/>
      </c>
      <c r="M23" s="15" t="str">
        <f t="shared" ca="1" si="24"/>
        <v/>
      </c>
      <c r="N23" s="15" t="str">
        <f t="shared" ca="1" si="24"/>
        <v/>
      </c>
      <c r="O23" s="15" t="str">
        <f t="shared" ca="1" si="24"/>
        <v/>
      </c>
      <c r="P23" s="15" t="str">
        <f t="shared" ca="1" si="24"/>
        <v/>
      </c>
      <c r="Q23" s="15" t="str">
        <f t="shared" ca="1" si="24"/>
        <v/>
      </c>
      <c r="R23" s="15" t="str">
        <f t="shared" ca="1" si="24"/>
        <v/>
      </c>
      <c r="S23" s="15" t="str">
        <f t="shared" ca="1" si="24"/>
        <v/>
      </c>
      <c r="T23" s="15" t="str">
        <f t="shared" ca="1" si="24"/>
        <v/>
      </c>
      <c r="U23" s="15" t="str">
        <f t="shared" ca="1" si="24"/>
        <v/>
      </c>
      <c r="V23" s="15" t="str">
        <f t="shared" ca="1" si="24"/>
        <v/>
      </c>
      <c r="W23" s="15" t="str">
        <f t="shared" ca="1" si="24"/>
        <v/>
      </c>
      <c r="X23" s="15" t="str">
        <f t="shared" ca="1" si="24"/>
        <v/>
      </c>
      <c r="Y23" s="15" t="str">
        <f t="shared" ref="Y23:AM26" ca="1" si="25">IF(AND($C23="Цель",Y$7&gt;=$F23,Y$7&lt;=$F23+$G23-1),2,IF(AND($C23="Веха",Y$7&gt;=$F23,Y$7&lt;=$F23+$G23-1),1,""))</f>
        <v/>
      </c>
      <c r="Z23" s="15" t="str">
        <f t="shared" ca="1" si="25"/>
        <v/>
      </c>
      <c r="AA23" s="15" t="str">
        <f t="shared" ca="1" si="25"/>
        <v/>
      </c>
      <c r="AB23" s="15" t="str">
        <f t="shared" ca="1" si="25"/>
        <v/>
      </c>
      <c r="AC23" s="15" t="str">
        <f t="shared" ca="1" si="25"/>
        <v/>
      </c>
      <c r="AD23" s="15" t="str">
        <f t="shared" ca="1" si="25"/>
        <v/>
      </c>
      <c r="AE23" s="15" t="str">
        <f t="shared" ca="1" si="25"/>
        <v/>
      </c>
      <c r="AF23" s="15" t="str">
        <f t="shared" ca="1" si="25"/>
        <v/>
      </c>
      <c r="AG23" s="15" t="str">
        <f t="shared" ca="1" si="25"/>
        <v/>
      </c>
      <c r="AH23" s="15" t="str">
        <f t="shared" ca="1" si="25"/>
        <v/>
      </c>
      <c r="AI23" s="15" t="str">
        <f t="shared" ca="1" si="25"/>
        <v/>
      </c>
      <c r="AJ23" s="15" t="str">
        <f t="shared" ca="1" si="25"/>
        <v/>
      </c>
      <c r="AK23" s="15" t="str">
        <f t="shared" ca="1" si="25"/>
        <v/>
      </c>
      <c r="AL23" s="15" t="str">
        <f t="shared" ca="1" si="25"/>
        <v/>
      </c>
      <c r="AM23" s="15" t="str">
        <f t="shared" ca="1" si="25"/>
        <v/>
      </c>
      <c r="AN23" s="15" t="str">
        <f t="shared" ca="1" si="22"/>
        <v/>
      </c>
      <c r="AO23" s="15" t="str">
        <f t="shared" ca="1" si="22"/>
        <v/>
      </c>
      <c r="AP23" s="15" t="str">
        <f t="shared" ca="1" si="22"/>
        <v/>
      </c>
      <c r="AQ23" s="15" t="str">
        <f t="shared" ca="1" si="22"/>
        <v/>
      </c>
      <c r="AR23" s="15" t="str">
        <f t="shared" ca="1" si="22"/>
        <v/>
      </c>
      <c r="AS23" s="15" t="str">
        <f t="shared" ca="1" si="22"/>
        <v/>
      </c>
      <c r="AT23" s="15" t="str">
        <f t="shared" ca="1" si="22"/>
        <v/>
      </c>
      <c r="AU23" s="15" t="str">
        <f t="shared" ca="1" si="22"/>
        <v/>
      </c>
      <c r="AV23" s="15" t="str">
        <f t="shared" ca="1" si="22"/>
        <v/>
      </c>
      <c r="AW23" s="15" t="str">
        <f t="shared" ca="1" si="22"/>
        <v/>
      </c>
      <c r="AX23" s="15" t="str">
        <f t="shared" ca="1" si="22"/>
        <v/>
      </c>
      <c r="AY23" s="15" t="str">
        <f t="shared" ca="1" si="22"/>
        <v/>
      </c>
      <c r="AZ23" s="15" t="str">
        <f t="shared" ca="1" si="22"/>
        <v/>
      </c>
      <c r="BA23" s="15" t="str">
        <f t="shared" ca="1" si="22"/>
        <v/>
      </c>
      <c r="BB23" s="15" t="str">
        <f t="shared" ca="1" si="22"/>
        <v/>
      </c>
      <c r="BC23" s="15" t="str">
        <f t="shared" ca="1" si="22"/>
        <v/>
      </c>
      <c r="BD23" s="15" t="str">
        <f t="shared" ca="1" si="23"/>
        <v/>
      </c>
      <c r="BE23" s="15" t="str">
        <f t="shared" ca="1" si="23"/>
        <v/>
      </c>
      <c r="BF23" s="15" t="str">
        <f t="shared" ca="1" si="23"/>
        <v/>
      </c>
      <c r="BG23" s="15" t="str">
        <f t="shared" ca="1" si="23"/>
        <v/>
      </c>
      <c r="BH23" s="15" t="str">
        <f t="shared" ca="1" si="23"/>
        <v/>
      </c>
      <c r="BI23" s="15" t="str">
        <f t="shared" ca="1" si="23"/>
        <v/>
      </c>
      <c r="BJ23" s="15" t="str">
        <f t="shared" ca="1" si="23"/>
        <v/>
      </c>
      <c r="BK23" s="15" t="str">
        <f t="shared" ca="1" si="23"/>
        <v/>
      </c>
      <c r="BL23" s="15" t="str">
        <f t="shared" ca="1" si="23"/>
        <v/>
      </c>
      <c r="BM23" s="15" t="str">
        <f t="shared" ca="1" si="23"/>
        <v/>
      </c>
      <c r="BN23" s="15" t="str">
        <f t="shared" ca="1" si="23"/>
        <v/>
      </c>
      <c r="BO23" s="15" t="str">
        <f t="shared" ca="1" si="23"/>
        <v/>
      </c>
      <c r="BP23" s="15" t="str">
        <f t="shared" ca="1" si="23"/>
        <v/>
      </c>
      <c r="BQ23" s="15" t="str">
        <f t="shared" ca="1" si="23"/>
        <v/>
      </c>
      <c r="BR23" s="15" t="str">
        <f t="shared" ca="1" si="23"/>
        <v/>
      </c>
      <c r="BS23" s="15" t="str">
        <f t="shared" ca="1" si="23"/>
        <v/>
      </c>
      <c r="BT23" s="114" t="str">
        <f t="shared" ca="1" si="21"/>
        <v/>
      </c>
    </row>
    <row r="24" spans="1:72" s="1" customFormat="1" ht="40.15" customHeight="1" thickBot="1" x14ac:dyDescent="0.6">
      <c r="A24" s="9"/>
      <c r="B24" s="69" t="s">
        <v>42</v>
      </c>
      <c r="C24" s="48" t="s">
        <v>8</v>
      </c>
      <c r="D24" s="48" t="s">
        <v>23</v>
      </c>
      <c r="E24" s="49">
        <v>0.15</v>
      </c>
      <c r="F24" s="50">
        <f ca="1">F22+G22</f>
        <v>46332</v>
      </c>
      <c r="G24" s="51">
        <v>3</v>
      </c>
      <c r="H24" s="17"/>
      <c r="I24" s="15" t="str">
        <f t="shared" ca="1" si="24"/>
        <v/>
      </c>
      <c r="J24" s="15" t="str">
        <f t="shared" ca="1" si="24"/>
        <v/>
      </c>
      <c r="K24" s="15" t="str">
        <f t="shared" ca="1" si="24"/>
        <v/>
      </c>
      <c r="L24" s="15" t="str">
        <f t="shared" ca="1" si="24"/>
        <v/>
      </c>
      <c r="M24" s="15" t="str">
        <f t="shared" ca="1" si="24"/>
        <v/>
      </c>
      <c r="N24" s="15" t="str">
        <f t="shared" ca="1" si="24"/>
        <v/>
      </c>
      <c r="O24" s="15" t="str">
        <f t="shared" ca="1" si="24"/>
        <v/>
      </c>
      <c r="P24" s="15" t="str">
        <f t="shared" ca="1" si="24"/>
        <v/>
      </c>
      <c r="Q24" s="15" t="str">
        <f t="shared" ca="1" si="24"/>
        <v/>
      </c>
      <c r="R24" s="15" t="str">
        <f t="shared" ca="1" si="24"/>
        <v/>
      </c>
      <c r="S24" s="15" t="str">
        <f t="shared" ca="1" si="24"/>
        <v/>
      </c>
      <c r="T24" s="15" t="str">
        <f t="shared" ca="1" si="24"/>
        <v/>
      </c>
      <c r="U24" s="15" t="str">
        <f t="shared" ca="1" si="24"/>
        <v/>
      </c>
      <c r="V24" s="15" t="str">
        <f t="shared" ca="1" si="24"/>
        <v/>
      </c>
      <c r="W24" s="15" t="str">
        <f t="shared" ca="1" si="24"/>
        <v/>
      </c>
      <c r="X24" s="15" t="str">
        <f t="shared" ca="1" si="24"/>
        <v/>
      </c>
      <c r="Y24" s="15" t="str">
        <f t="shared" ca="1" si="25"/>
        <v/>
      </c>
      <c r="Z24" s="15" t="str">
        <f t="shared" ca="1" si="25"/>
        <v/>
      </c>
      <c r="AA24" s="15" t="str">
        <f t="shared" ca="1" si="25"/>
        <v/>
      </c>
      <c r="AB24" s="15" t="str">
        <f t="shared" ca="1" si="25"/>
        <v/>
      </c>
      <c r="AC24" s="15" t="str">
        <f t="shared" ca="1" si="25"/>
        <v/>
      </c>
      <c r="AD24" s="15" t="str">
        <f t="shared" ca="1" si="25"/>
        <v/>
      </c>
      <c r="AE24" s="15" t="str">
        <f t="shared" ca="1" si="25"/>
        <v/>
      </c>
      <c r="AF24" s="15" t="str">
        <f t="shared" ca="1" si="25"/>
        <v/>
      </c>
      <c r="AG24" s="15" t="str">
        <f t="shared" ca="1" si="25"/>
        <v/>
      </c>
      <c r="AH24" s="15" t="str">
        <f t="shared" ca="1" si="25"/>
        <v/>
      </c>
      <c r="AI24" s="15" t="str">
        <f t="shared" ca="1" si="25"/>
        <v/>
      </c>
      <c r="AJ24" s="15" t="str">
        <f t="shared" ca="1" si="25"/>
        <v/>
      </c>
      <c r="AK24" s="15" t="str">
        <f t="shared" ca="1" si="25"/>
        <v/>
      </c>
      <c r="AL24" s="15" t="str">
        <f t="shared" ca="1" si="25"/>
        <v/>
      </c>
      <c r="AM24" s="15" t="str">
        <f t="shared" ca="1" si="25"/>
        <v/>
      </c>
      <c r="AN24" s="15" t="str">
        <f t="shared" ca="1" si="22"/>
        <v/>
      </c>
      <c r="AO24" s="15" t="str">
        <f t="shared" ca="1" si="22"/>
        <v/>
      </c>
      <c r="AP24" s="15" t="str">
        <f t="shared" ca="1" si="22"/>
        <v/>
      </c>
      <c r="AQ24" s="15" t="str">
        <f t="shared" ca="1" si="22"/>
        <v/>
      </c>
      <c r="AR24" s="15" t="str">
        <f t="shared" ca="1" si="22"/>
        <v/>
      </c>
      <c r="AS24" s="15" t="str">
        <f t="shared" ca="1" si="22"/>
        <v/>
      </c>
      <c r="AT24" s="15" t="str">
        <f t="shared" ca="1" si="22"/>
        <v/>
      </c>
      <c r="AU24" s="15" t="str">
        <f t="shared" ca="1" si="22"/>
        <v/>
      </c>
      <c r="AV24" s="15" t="str">
        <f t="shared" ca="1" si="22"/>
        <v/>
      </c>
      <c r="AW24" s="15" t="str">
        <f t="shared" ca="1" si="22"/>
        <v/>
      </c>
      <c r="AX24" s="15" t="str">
        <f t="shared" ca="1" si="22"/>
        <v/>
      </c>
      <c r="AY24" s="15" t="str">
        <f t="shared" ca="1" si="22"/>
        <v/>
      </c>
      <c r="AZ24" s="15" t="str">
        <f t="shared" ca="1" si="22"/>
        <v/>
      </c>
      <c r="BA24" s="15" t="str">
        <f t="shared" ca="1" si="22"/>
        <v/>
      </c>
      <c r="BB24" s="15" t="str">
        <f t="shared" ca="1" si="22"/>
        <v/>
      </c>
      <c r="BC24" s="15" t="str">
        <f t="shared" ca="1" si="22"/>
        <v/>
      </c>
      <c r="BD24" s="15" t="str">
        <f t="shared" ca="1" si="23"/>
        <v/>
      </c>
      <c r="BE24" s="15" t="str">
        <f t="shared" ca="1" si="23"/>
        <v/>
      </c>
      <c r="BF24" s="15" t="str">
        <f t="shared" ca="1" si="23"/>
        <v/>
      </c>
      <c r="BG24" s="15" t="str">
        <f t="shared" ca="1" si="23"/>
        <v/>
      </c>
      <c r="BH24" s="15" t="str">
        <f t="shared" ca="1" si="23"/>
        <v/>
      </c>
      <c r="BI24" s="15" t="str">
        <f t="shared" ca="1" si="23"/>
        <v/>
      </c>
      <c r="BJ24" s="15" t="str">
        <f t="shared" ca="1" si="23"/>
        <v/>
      </c>
      <c r="BK24" s="15" t="str">
        <f t="shared" ca="1" si="23"/>
        <v/>
      </c>
      <c r="BL24" s="15" t="str">
        <f t="shared" ca="1" si="23"/>
        <v/>
      </c>
      <c r="BM24" s="15" t="str">
        <f t="shared" ca="1" si="21"/>
        <v/>
      </c>
      <c r="BN24" s="15" t="str">
        <f t="shared" ca="1" si="21"/>
        <v/>
      </c>
      <c r="BO24" s="15" t="str">
        <f t="shared" ca="1" si="21"/>
        <v/>
      </c>
      <c r="BP24" s="15" t="str">
        <f t="shared" ca="1" si="21"/>
        <v/>
      </c>
      <c r="BQ24" s="15" t="str">
        <f t="shared" ca="1" si="21"/>
        <v/>
      </c>
      <c r="BR24" s="15" t="str">
        <f t="shared" ca="1" si="21"/>
        <v/>
      </c>
      <c r="BS24" s="15" t="str">
        <f t="shared" ca="1" si="21"/>
        <v/>
      </c>
      <c r="BT24" s="114" t="str">
        <f t="shared" ca="1" si="21"/>
        <v/>
      </c>
    </row>
    <row r="25" spans="1:72" s="1" customFormat="1" ht="40.15" customHeight="1" thickBot="1" x14ac:dyDescent="0.6">
      <c r="A25" s="9"/>
      <c r="B25" s="47" t="s">
        <v>32</v>
      </c>
      <c r="C25" s="48"/>
      <c r="D25" s="48"/>
      <c r="E25" s="49">
        <f>E26</f>
        <v>0.15</v>
      </c>
      <c r="F25" s="50">
        <f ca="1">F26</f>
        <v>46335</v>
      </c>
      <c r="G25" s="51">
        <f>G26</f>
        <v>10</v>
      </c>
      <c r="H25" s="17"/>
      <c r="I25" s="15" t="str">
        <f t="shared" ca="1" si="24"/>
        <v/>
      </c>
      <c r="J25" s="15" t="str">
        <f t="shared" ca="1" si="24"/>
        <v/>
      </c>
      <c r="K25" s="15" t="str">
        <f t="shared" ca="1" si="24"/>
        <v/>
      </c>
      <c r="L25" s="15" t="str">
        <f t="shared" ca="1" si="24"/>
        <v/>
      </c>
      <c r="M25" s="15" t="str">
        <f t="shared" ca="1" si="24"/>
        <v/>
      </c>
      <c r="N25" s="15" t="str">
        <f t="shared" ca="1" si="24"/>
        <v/>
      </c>
      <c r="O25" s="15" t="str">
        <f t="shared" ca="1" si="24"/>
        <v/>
      </c>
      <c r="P25" s="15" t="str">
        <f t="shared" ca="1" si="24"/>
        <v/>
      </c>
      <c r="Q25" s="15" t="str">
        <f t="shared" ca="1" si="24"/>
        <v/>
      </c>
      <c r="R25" s="15" t="str">
        <f t="shared" ca="1" si="24"/>
        <v/>
      </c>
      <c r="S25" s="15" t="str">
        <f t="shared" ca="1" si="24"/>
        <v/>
      </c>
      <c r="T25" s="15" t="str">
        <f t="shared" ca="1" si="24"/>
        <v/>
      </c>
      <c r="U25" s="15" t="str">
        <f t="shared" ca="1" si="24"/>
        <v/>
      </c>
      <c r="V25" s="15" t="str">
        <f t="shared" ca="1" si="24"/>
        <v/>
      </c>
      <c r="W25" s="15" t="str">
        <f t="shared" ca="1" si="24"/>
        <v/>
      </c>
      <c r="X25" s="15" t="str">
        <f t="shared" ca="1" si="24"/>
        <v/>
      </c>
      <c r="Y25" s="15" t="str">
        <f t="shared" ca="1" si="25"/>
        <v/>
      </c>
      <c r="Z25" s="15" t="str">
        <f t="shared" ca="1" si="25"/>
        <v/>
      </c>
      <c r="AA25" s="15" t="str">
        <f t="shared" ca="1" si="25"/>
        <v/>
      </c>
      <c r="AB25" s="15" t="str">
        <f t="shared" ca="1" si="25"/>
        <v/>
      </c>
      <c r="AC25" s="15" t="str">
        <f t="shared" ca="1" si="25"/>
        <v/>
      </c>
      <c r="AD25" s="15" t="str">
        <f t="shared" ca="1" si="25"/>
        <v/>
      </c>
      <c r="AE25" s="15" t="str">
        <f t="shared" ca="1" si="25"/>
        <v/>
      </c>
      <c r="AF25" s="15" t="str">
        <f t="shared" ca="1" si="25"/>
        <v/>
      </c>
      <c r="AG25" s="15" t="str">
        <f t="shared" ca="1" si="25"/>
        <v/>
      </c>
      <c r="AH25" s="15" t="str">
        <f t="shared" ca="1" si="25"/>
        <v/>
      </c>
      <c r="AI25" s="15" t="str">
        <f t="shared" ca="1" si="25"/>
        <v/>
      </c>
      <c r="AJ25" s="15" t="str">
        <f t="shared" ca="1" si="25"/>
        <v/>
      </c>
      <c r="AK25" s="15" t="str">
        <f t="shared" ca="1" si="25"/>
        <v/>
      </c>
      <c r="AL25" s="15" t="str">
        <f t="shared" ca="1" si="25"/>
        <v/>
      </c>
      <c r="AM25" s="15" t="str">
        <f t="shared" ca="1" si="25"/>
        <v/>
      </c>
      <c r="AN25" s="15" t="str">
        <f t="shared" ca="1" si="22"/>
        <v/>
      </c>
      <c r="AO25" s="15" t="str">
        <f t="shared" ca="1" si="22"/>
        <v/>
      </c>
      <c r="AP25" s="15" t="str">
        <f t="shared" ca="1" si="22"/>
        <v/>
      </c>
      <c r="AQ25" s="15" t="str">
        <f t="shared" ca="1" si="22"/>
        <v/>
      </c>
      <c r="AR25" s="15" t="str">
        <f t="shared" ca="1" si="22"/>
        <v/>
      </c>
      <c r="AS25" s="15" t="str">
        <f t="shared" ca="1" si="22"/>
        <v/>
      </c>
      <c r="AT25" s="15" t="str">
        <f t="shared" ca="1" si="22"/>
        <v/>
      </c>
      <c r="AU25" s="15" t="str">
        <f t="shared" ca="1" si="22"/>
        <v/>
      </c>
      <c r="AV25" s="15" t="str">
        <f t="shared" ca="1" si="22"/>
        <v/>
      </c>
      <c r="AW25" s="15" t="str">
        <f t="shared" ca="1" si="22"/>
        <v/>
      </c>
      <c r="AX25" s="15" t="str">
        <f t="shared" ca="1" si="22"/>
        <v/>
      </c>
      <c r="AY25" s="15" t="str">
        <f t="shared" ca="1" si="22"/>
        <v/>
      </c>
      <c r="AZ25" s="15" t="str">
        <f t="shared" ca="1" si="22"/>
        <v/>
      </c>
      <c r="BA25" s="15" t="str">
        <f t="shared" ca="1" si="22"/>
        <v/>
      </c>
      <c r="BB25" s="15" t="str">
        <f t="shared" ca="1" si="22"/>
        <v/>
      </c>
      <c r="BC25" s="15" t="str">
        <f t="shared" ca="1" si="22"/>
        <v/>
      </c>
      <c r="BD25" s="15" t="str">
        <f t="shared" ca="1" si="23"/>
        <v/>
      </c>
      <c r="BE25" s="15" t="str">
        <f t="shared" ca="1" si="23"/>
        <v/>
      </c>
      <c r="BF25" s="15" t="str">
        <f t="shared" ca="1" si="23"/>
        <v/>
      </c>
      <c r="BG25" s="15" t="str">
        <f t="shared" ca="1" si="23"/>
        <v/>
      </c>
      <c r="BH25" s="15" t="str">
        <f t="shared" ca="1" si="23"/>
        <v/>
      </c>
      <c r="BI25" s="15" t="str">
        <f t="shared" ca="1" si="23"/>
        <v/>
      </c>
      <c r="BJ25" s="15" t="str">
        <f t="shared" ca="1" si="23"/>
        <v/>
      </c>
      <c r="BK25" s="15" t="str">
        <f t="shared" ca="1" si="23"/>
        <v/>
      </c>
      <c r="BL25" s="15" t="str">
        <f t="shared" ca="1" si="23"/>
        <v/>
      </c>
      <c r="BM25" s="15" t="str">
        <f t="shared" ca="1" si="21"/>
        <v/>
      </c>
      <c r="BN25" s="15" t="str">
        <f t="shared" ca="1" si="21"/>
        <v/>
      </c>
      <c r="BO25" s="15" t="str">
        <f t="shared" ca="1" si="21"/>
        <v/>
      </c>
      <c r="BP25" s="15" t="str">
        <f t="shared" ca="1" si="21"/>
        <v/>
      </c>
      <c r="BQ25" s="15" t="str">
        <f t="shared" ca="1" si="21"/>
        <v/>
      </c>
      <c r="BR25" s="15" t="str">
        <f t="shared" ca="1" si="21"/>
        <v/>
      </c>
      <c r="BS25" s="15" t="str">
        <f t="shared" ca="1" si="21"/>
        <v/>
      </c>
      <c r="BT25" s="114" t="str">
        <f t="shared" ca="1" si="21"/>
        <v/>
      </c>
    </row>
    <row r="26" spans="1:72" s="1" customFormat="1" ht="40.15" customHeight="1" thickBot="1" x14ac:dyDescent="0.6">
      <c r="A26" s="9"/>
      <c r="B26" s="70" t="s">
        <v>43</v>
      </c>
      <c r="C26" s="48" t="s">
        <v>8</v>
      </c>
      <c r="D26" s="48" t="s">
        <v>27</v>
      </c>
      <c r="E26" s="49">
        <v>0.15</v>
      </c>
      <c r="F26" s="50">
        <f ca="1">F24+G24</f>
        <v>46335</v>
      </c>
      <c r="G26" s="51">
        <v>10</v>
      </c>
      <c r="H26" s="62"/>
      <c r="I26" s="115" t="str">
        <f t="shared" ca="1" si="24"/>
        <v/>
      </c>
      <c r="J26" s="115" t="str">
        <f t="shared" ca="1" si="24"/>
        <v/>
      </c>
      <c r="K26" s="115" t="str">
        <f t="shared" ca="1" si="24"/>
        <v/>
      </c>
      <c r="L26" s="115" t="str">
        <f t="shared" ca="1" si="24"/>
        <v/>
      </c>
      <c r="M26" s="115" t="str">
        <f t="shared" ca="1" si="24"/>
        <v/>
      </c>
      <c r="N26" s="115" t="str">
        <f t="shared" ca="1" si="24"/>
        <v/>
      </c>
      <c r="O26" s="115" t="str">
        <f t="shared" ca="1" si="24"/>
        <v/>
      </c>
      <c r="P26" s="115" t="str">
        <f t="shared" ca="1" si="24"/>
        <v/>
      </c>
      <c r="Q26" s="115" t="str">
        <f t="shared" ca="1" si="24"/>
        <v/>
      </c>
      <c r="R26" s="115" t="str">
        <f t="shared" ca="1" si="24"/>
        <v/>
      </c>
      <c r="S26" s="115" t="str">
        <f t="shared" ca="1" si="24"/>
        <v/>
      </c>
      <c r="T26" s="115" t="str">
        <f t="shared" ca="1" si="24"/>
        <v/>
      </c>
      <c r="U26" s="115" t="str">
        <f t="shared" ca="1" si="24"/>
        <v/>
      </c>
      <c r="V26" s="115" t="str">
        <f t="shared" ca="1" si="24"/>
        <v/>
      </c>
      <c r="W26" s="115" t="str">
        <f t="shared" ca="1" si="24"/>
        <v/>
      </c>
      <c r="X26" s="115" t="str">
        <f t="shared" ca="1" si="24"/>
        <v/>
      </c>
      <c r="Y26" s="115" t="str">
        <f t="shared" ca="1" si="25"/>
        <v/>
      </c>
      <c r="Z26" s="115" t="str">
        <f t="shared" ca="1" si="25"/>
        <v/>
      </c>
      <c r="AA26" s="115" t="str">
        <f t="shared" ca="1" si="25"/>
        <v/>
      </c>
      <c r="AB26" s="115" t="str">
        <f t="shared" ca="1" si="25"/>
        <v/>
      </c>
      <c r="AC26" s="115" t="str">
        <f t="shared" ca="1" si="25"/>
        <v/>
      </c>
      <c r="AD26" s="115" t="str">
        <f t="shared" ca="1" si="25"/>
        <v/>
      </c>
      <c r="AE26" s="115" t="str">
        <f t="shared" ca="1" si="25"/>
        <v/>
      </c>
      <c r="AF26" s="115" t="str">
        <f t="shared" ca="1" si="25"/>
        <v/>
      </c>
      <c r="AG26" s="115" t="str">
        <f t="shared" ca="1" si="25"/>
        <v/>
      </c>
      <c r="AH26" s="115" t="str">
        <f t="shared" ca="1" si="25"/>
        <v/>
      </c>
      <c r="AI26" s="115" t="str">
        <f t="shared" ca="1" si="25"/>
        <v/>
      </c>
      <c r="AJ26" s="115" t="str">
        <f t="shared" ca="1" si="25"/>
        <v/>
      </c>
      <c r="AK26" s="115" t="str">
        <f t="shared" ca="1" si="25"/>
        <v/>
      </c>
      <c r="AL26" s="115" t="str">
        <f t="shared" ca="1" si="25"/>
        <v/>
      </c>
      <c r="AM26" s="115" t="str">
        <f t="shared" ca="1" si="25"/>
        <v/>
      </c>
      <c r="AN26" s="115" t="str">
        <f t="shared" ca="1" si="22"/>
        <v/>
      </c>
      <c r="AO26" s="115" t="str">
        <f t="shared" ca="1" si="22"/>
        <v/>
      </c>
      <c r="AP26" s="115" t="str">
        <f t="shared" ca="1" si="22"/>
        <v/>
      </c>
      <c r="AQ26" s="115" t="str">
        <f t="shared" ca="1" si="22"/>
        <v/>
      </c>
      <c r="AR26" s="115" t="str">
        <f t="shared" ca="1" si="22"/>
        <v/>
      </c>
      <c r="AS26" s="115" t="str">
        <f t="shared" ca="1" si="22"/>
        <v/>
      </c>
      <c r="AT26" s="115" t="str">
        <f t="shared" ca="1" si="22"/>
        <v/>
      </c>
      <c r="AU26" s="115" t="str">
        <f t="shared" ca="1" si="22"/>
        <v/>
      </c>
      <c r="AV26" s="115" t="str">
        <f t="shared" ca="1" si="22"/>
        <v/>
      </c>
      <c r="AW26" s="115" t="str">
        <f t="shared" ca="1" si="22"/>
        <v/>
      </c>
      <c r="AX26" s="115" t="str">
        <f t="shared" ca="1" si="22"/>
        <v/>
      </c>
      <c r="AY26" s="115" t="str">
        <f t="shared" ca="1" si="22"/>
        <v/>
      </c>
      <c r="AZ26" s="115" t="str">
        <f t="shared" ca="1" si="22"/>
        <v/>
      </c>
      <c r="BA26" s="115" t="str">
        <f t="shared" ca="1" si="22"/>
        <v/>
      </c>
      <c r="BB26" s="115" t="str">
        <f t="shared" ca="1" si="22"/>
        <v/>
      </c>
      <c r="BC26" s="115" t="str">
        <f t="shared" ca="1" si="22"/>
        <v/>
      </c>
      <c r="BD26" s="115" t="str">
        <f t="shared" ca="1" si="23"/>
        <v/>
      </c>
      <c r="BE26" s="115" t="str">
        <f t="shared" ca="1" si="23"/>
        <v/>
      </c>
      <c r="BF26" s="115" t="str">
        <f t="shared" ca="1" si="23"/>
        <v/>
      </c>
      <c r="BG26" s="115" t="str">
        <f t="shared" ca="1" si="23"/>
        <v/>
      </c>
      <c r="BH26" s="115" t="str">
        <f t="shared" ca="1" si="23"/>
        <v/>
      </c>
      <c r="BI26" s="115" t="str">
        <f t="shared" ca="1" si="23"/>
        <v/>
      </c>
      <c r="BJ26" s="115" t="str">
        <f t="shared" ca="1" si="23"/>
        <v/>
      </c>
      <c r="BK26" s="115" t="str">
        <f t="shared" ca="1" si="23"/>
        <v/>
      </c>
      <c r="BL26" s="115" t="str">
        <f t="shared" ca="1" si="23"/>
        <v/>
      </c>
      <c r="BM26" s="115" t="str">
        <f t="shared" ref="BM26:BT26" ca="1" si="26">IF(AND($C26="Цель",BM$7&gt;=$F26,BM$7&lt;=$F26+$G26-1),2,IF(AND($C26="Веха",BM$7&gt;=$F26,BM$7&lt;=$F26+$G26-1),1,""))</f>
        <v/>
      </c>
      <c r="BN26" s="115" t="str">
        <f t="shared" ca="1" si="26"/>
        <v/>
      </c>
      <c r="BO26" s="115" t="str">
        <f t="shared" ca="1" si="26"/>
        <v/>
      </c>
      <c r="BP26" s="115" t="str">
        <f t="shared" ca="1" si="26"/>
        <v/>
      </c>
      <c r="BQ26" s="115" t="str">
        <f t="shared" ca="1" si="26"/>
        <v/>
      </c>
      <c r="BR26" s="115" t="str">
        <f t="shared" ca="1" si="26"/>
        <v/>
      </c>
      <c r="BS26" s="115" t="str">
        <f t="shared" ca="1" si="26"/>
        <v/>
      </c>
      <c r="BT26" s="116" t="str">
        <f t="shared" ca="1" si="26"/>
        <v/>
      </c>
    </row>
    <row r="27" spans="1:72" s="1" customFormat="1" ht="40.15" customHeight="1" x14ac:dyDescent="0.55000000000000004">
      <c r="A27" s="10"/>
      <c r="B27" s="44" t="s">
        <v>3</v>
      </c>
      <c r="C27" s="17"/>
      <c r="D27" s="17"/>
      <c r="E27" s="18"/>
      <c r="F27" s="20"/>
      <c r="G27" s="21"/>
      <c r="H27" s="17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</row>
    <row r="28" spans="1:72" ht="30" customHeight="1" x14ac:dyDescent="0.55000000000000004">
      <c r="D28" s="4"/>
      <c r="G28" s="11"/>
      <c r="H28" s="3"/>
    </row>
    <row r="29" spans="1:72" ht="30" customHeight="1" x14ac:dyDescent="0.55000000000000004">
      <c r="D29" s="5"/>
    </row>
  </sheetData>
  <mergeCells count="8">
    <mergeCell ref="V4:AA4"/>
    <mergeCell ref="AC4:AH4"/>
    <mergeCell ref="AJ4:AN4"/>
    <mergeCell ref="B2:H2"/>
    <mergeCell ref="I2:N2"/>
    <mergeCell ref="O2:T2"/>
    <mergeCell ref="I4:N4"/>
    <mergeCell ref="P4:T4"/>
  </mergeCells>
  <conditionalFormatting sqref="E9:E27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{E8416024-553A-4557-9805-628B358112C1}</x14:id>
        </ext>
      </extLst>
    </cfRule>
  </conditionalFormatting>
  <conditionalFormatting sqref="I6:AM6">
    <cfRule type="expression" dxfId="9" priority="5">
      <formula>I$7&lt;=EOMONTH($I$7,0)</formula>
    </cfRule>
  </conditionalFormatting>
  <conditionalFormatting sqref="I7:BK27">
    <cfRule type="expression" dxfId="8" priority="2">
      <formula>AND(TODAY()&gt;=I$7,TODAY()&lt;J$7)</formula>
    </cfRule>
  </conditionalFormatting>
  <conditionalFormatting sqref="I6:BT6">
    <cfRule type="expression" dxfId="7" priority="3">
      <formula>AND(I$7&lt;=EOMONTH($I$7,1),I$7&gt;EOMONTH($I$7,0))</formula>
    </cfRule>
  </conditionalFormatting>
  <conditionalFormatting sqref="I10:BT26">
    <cfRule type="expression" dxfId="6" priority="75" stopIfTrue="1">
      <formula>AND($C10="Низкий риск",I$7&gt;=$F10,I$7&lt;=$F10+$G10-1)</formula>
    </cfRule>
    <cfRule type="expression" dxfId="5" priority="76" stopIfTrue="1">
      <formula>AND($C10="Высокий риск",I$7&gt;=$F10,I$7&lt;=$F10+$G10-1)</formula>
    </cfRule>
    <cfRule type="expression" dxfId="4" priority="77" stopIfTrue="1">
      <formula>AND($C10="По плану",I$7&gt;=$F10,I$7&lt;=$F10+$G10-1)</formula>
    </cfRule>
    <cfRule type="expression" dxfId="3" priority="78" stopIfTrue="1">
      <formula>AND($C10="Средний риск",I$7&gt;=$F10,I$7&lt;=$F10+$G10-1)</formula>
    </cfRule>
    <cfRule type="expression" dxfId="2" priority="79" stopIfTrue="1">
      <formula>AND(LEN($C10)=0,I$7&gt;=$F10,I$7&lt;=$F10+$G10-1)</formula>
    </cfRule>
  </conditionalFormatting>
  <conditionalFormatting sqref="J6:BT6">
    <cfRule type="expression" dxfId="1" priority="4">
      <formula>AND(J$7&lt;=EOMONTH($I$7,2),J$7&gt;EOMONTH($I$7,0),J$7&gt;EOMONTH($I$7,1))</formula>
    </cfRule>
  </conditionalFormatting>
  <conditionalFormatting sqref="BL7:BT27">
    <cfRule type="expression" dxfId="0" priority="70">
      <formula>AND(TODAY()&gt;=BL$7,TODAY()&lt;#REF!)</formula>
    </cfRule>
  </conditionalFormatting>
  <dataValidations disablePrompts="1" count="12">
    <dataValidation type="whole" operator="greaterThanOrEqual" allowBlank="1" showInputMessage="1" promptTitle="Шаг прокрутки" prompt="При изменении этого числа представление &quot;Диаграмма Ганта&quot; прокручивается." sqref="C7" xr:uid="{662A47A0-7258-440E-8D71-BC54CBC9C651}">
      <formula1>0</formula1>
    </dataValidation>
    <dataValidation type="list" allowBlank="1" showInputMessage="1" showErrorMessage="1" sqref="C10 C12:C26" xr:uid="{12A8278F-D51D-4B98-A311-DB5FCD18D214}">
      <formula1>"Цель,Веха,По плану, Низкий риск, Средний риск, Высокий риск"</formula1>
    </dataValidation>
    <dataValidation type="list" allowBlank="1" showInputMessage="1" sqref="C11" xr:uid="{218D9212-09C8-4DA2-9014-64503951B170}">
      <formula1>"Цель,Веха,По плану, Низкий риск, Средний риск, Высокий риск"</formula1>
    </dataValidation>
    <dataValidation allowBlank="1" showInputMessage="1" showErrorMessage="1" promptTitle="Создание диаграммы Ганта" prompt="Введите название проекта в ячейку B2. _x000a_Информацию о пользовании этой таблицей, в том числе инструкции для чтения с экрана и имя автора, см. в столбце &quot;Информация&quot;._x000a_Прокрутите столбец A вниз, чтобы увидеть дальнейшие инструкции." sqref="A2" xr:uid="{E4602294-DCCD-4B4D-A916-B5520C80CF80}"/>
    <dataValidation allowBlank="1" showInputMessage="1" showErrorMessage="1" prompt="Введите название компании в ячейку B4._x000a_Легенда находится в ячейках I4–AC4. Метка легенды находится в ячейке G4." sqref="A4" xr:uid="{162198D7-BB96-453A-BB1C-71A472FB68F5}"/>
    <dataValidation allowBlank="1" showInputMessage="1" showErrorMessage="1" prompt="Введите имя руководителя проекта в ячейку B5. Введите дату начала проекта в ячейку C6 или позвольте формуле найти эту дату в диаграмме Ганта. _x000a_Метка &quot;Дата начала проекта&quot; находится в ячейке B6." sqref="A5" xr:uid="{9BBE640D-6E85-4D9D-AF8E-654ECD5CE97D}"/>
    <dataValidation allowBlank="1" showInputMessage="1" showErrorMessage="1" prompt="Приращение прокрутки находится в ячейке C7. _x000a_Месяцы для дат в строке 7 показаны в ячейках I6-BL6._x000a_Не изменяйте эти ячейки. Они обновляются автоматически на основе даты начала проекта, указанной в ячейке F6." sqref="A6" xr:uid="{D018285A-B1BB-4604-A67E-E25F048BC864}"/>
    <dataValidation allowBlank="1" showInputMessage="1" showErrorMessage="1" prompt="Ячейки I9–BL9 содержат число месяца, представленного в блоке ячеек над каждой ячейкой даты. Эти значения вычисляются автоматически._x000a_Не изменяйте эти ячейки._x000a_" sqref="A7" xr:uid="{1544BB7A-7F3E-469D-9CB6-4B9BACED7ACE}"/>
    <dataValidation allowBlank="1" showInputMessage="1" showErrorMessage="1" prompt="Панель прокрутки находится в ячейках I8–BL8. _x000a_Для перехода вперед или назад по временной шкале введите значение 0 или большее значение в ячейке C7._x000a_При вводе значения 0 диаграмма вернется к началу." sqref="A8" xr:uid="{737D7247-B514-41B2-94CC-2F538E17DE66}"/>
    <dataValidation allowBlank="1" showInputMessage="1" showErrorMessage="1" prompt="Эта строка содержит заголовки расписания проекта. Ячейки B9-G9 содержат сведения о расписании. Ячейки I9–BL9 содержат первую букву каждого дня недели для даты, указанной над заголовком._x000a_Все диаграммы временной шкалы проекта создаются автоматически." sqref="A9" xr:uid="{6AB925DC-9BC9-4EC3-A848-25121289EECD}"/>
    <dataValidation allowBlank="1" showInputMessage="1" showErrorMessage="1" prompt="Введите сведения о проекте в ячейки B11-G11. _x000a_Введите описание вехи, выберите категорию, назначьте задачу сотруднику и введите ход выполнения, дату начала и количество дней, чтобы начала генерироваться диаграмма._x000a_" sqref="A11" xr:uid="{77315CCB-C571-42B0-8983-9C17BB04F75F}"/>
    <dataValidation allowBlank="1" showInputMessage="1" showErrorMessage="1" prompt="Эта строка указывает, где кончаются данные для вехи в диаграмме Ганта. Не вводите ничего в этой строке. _x000a_Для добавления элементов вставьте новые строки над этой._x000a_" sqref="A27" xr:uid="{659FD5CB-B62B-4854-B8A9-29F1F70930AC}"/>
  </dataValidations>
  <pageMargins left="0.25" right="0.25" top="0.75" bottom="0.75" header="0.3" footer="0.3"/>
  <pageSetup paperSize="9" scale="40" fitToHeight="0" orientation="landscape" r:id="rId1"/>
  <ignoredErrors>
    <ignoredError sqref="F24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Полоса прокрутки 1">
              <controlPr defaultSize="0" autoPict="0" altText="Полоса прокрутки для временной шкалы проекта на диаграмме Ганта.">
                <anchor moveWithCells="1">
                  <from>
                    <xdr:col>8</xdr:col>
                    <xdr:colOff>30480</xdr:colOff>
                    <xdr:row>7</xdr:row>
                    <xdr:rowOff>57150</xdr:rowOff>
                  </from>
                  <to>
                    <xdr:col>63</xdr:col>
                    <xdr:colOff>228600</xdr:colOff>
                    <xdr:row>8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416024-553A-4557-9805-628B358112C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E9:E27</xm:sqref>
        </x14:conditionalFormatting>
        <x14:conditionalFormatting xmlns:xm="http://schemas.microsoft.com/office/excel/2006/main">
          <x14:cfRule type="iconSet" priority="74" id="{39412BF5-D1E8-4731-95F6-6B0C252D35F8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I10:BT26</xm:sqref>
        </x14:conditionalFormatting>
        <x14:conditionalFormatting xmlns:xm="http://schemas.microsoft.com/office/excel/2006/main">
          <x14:cfRule type="iconSet" priority="72" id="{A1EFF969-3CBB-4DB2-A4C9-47B01FE32C86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I27:BT27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_ip_UnifiedCompliancePolicyProperties xmlns="http://schemas.microsoft.com/sharepoint/v3" xsi:nil="true"/>
    <lcf76f155ced4ddcb4097134ff3c332f xmlns="71af3243-3dd4-4a8d-8c0d-dd76da1f02a5">
      <Terms xmlns="http://schemas.microsoft.com/office/infopath/2007/PartnerControls"/>
    </lcf76f155ced4ddcb4097134ff3c332f>
    <TaxCatchAll xmlns="230e9df3-be65-4c73-a93b-d1236ebd677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8" ma:contentTypeDescription="Create a new document." ma:contentTypeScope="" ma:versionID="22a266b9fa9a230c5a512669d8b298c3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eddc33fff6b14141ee5c74a0d29ea6a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  <xsd:element ref="ns1:_ip_UnifiedCompliancePolicyProperties" minOccurs="0"/>
                <xsd:element ref="ns1:_ip_UnifiedCompliancePolicyUIAction" minOccurs="0"/>
                <xsd:element ref="ns2:Image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22" nillable="true" ma:displayName="Image" ma:format="Image" ma:internalName="Imag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cf76f155ced4ddcb4097134ff3c332f" ma:index="24" nillable="true" ma:taxonomy="true" ma:internalName="lcf76f155ced4ddcb4097134ff3c332f" ma:taxonomyFieldName="MediaServiceAITags" ma:displayName="Image Tags" ma:readOnly="false" ma:fieldId="{5cf76f15-5ced-4ddc-b409-7134ff3c332f}" ma:taxonomyMulti="true" ma:sspId="e385fb40-52d4-4fae-9c5b-3e8ff8a5878e" ma:termSetId="09814cd3-568e-4e90-9814-8d621ff8fb84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f6bfcbc-3db3-4ae6-bd76-326f0798ad28}" ma:internalName="TaxCatchAll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2DEF9A-5603-4032-8693-71D06BA0F86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A4BA2A8-DB97-40F9-8DB6-154C09C7467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75C87518-DD8E-42CD-8DAC-291A323E84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9060724-9CA2-4290-8A0C-B53624A594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TM55723235</Templat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3</vt:i4>
      </vt:variant>
    </vt:vector>
  </HeadingPairs>
  <TitlesOfParts>
    <vt:vector size="5" baseType="lpstr">
      <vt:lpstr>Информация</vt:lpstr>
      <vt:lpstr>График</vt:lpstr>
      <vt:lpstr>График!Заголовки_для_печати</vt:lpstr>
      <vt:lpstr>График!Начало_проекта</vt:lpstr>
      <vt:lpstr>График!Шаг_прокрутки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2021-02-17T05:31:39Z</dcterms:created>
  <dcterms:modified xsi:type="dcterms:W3CDTF">2026-09-29T10:58:53Z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